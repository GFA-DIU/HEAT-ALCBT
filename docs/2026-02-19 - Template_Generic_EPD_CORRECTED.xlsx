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DieseArbeitsmappe"/>
  <mc:AlternateContent xmlns:mc="http://schemas.openxmlformats.org/markup-compatibility/2006">
    <mc:Choice Requires="x15">
      <x15ac:absPath xmlns:x15ac="http://schemas.microsoft.com/office/spreadsheetml/2010/11/ac" url="https://heat365.sharepoint.com/sites/IKIGGGIASIA/Freigegebene Dokumente/IKI GGGI HEAT ALCBT General/ALCBT Tools/BEAT/Methodology/Generic EPDs/"/>
    </mc:Choice>
  </mc:AlternateContent>
  <xr:revisionPtr revIDLastSave="0" documentId="8_{D1C72B1E-D31B-456B-8015-437FDEE04616}" xr6:coauthVersionLast="47" xr6:coauthVersionMax="47" xr10:uidLastSave="{00000000-0000-0000-0000-000000000000}"/>
  <bookViews>
    <workbookView minimized="1" xWindow="29940" yWindow="1140" windowWidth="21600" windowHeight="11175" firstSheet="5" activeTab="5" xr2:uid="{00000000-000D-0000-FFFF-FFFF00000000}"/>
  </bookViews>
  <sheets>
    <sheet name="factors_corrected" sheetId="1" r:id="rId1"/>
    <sheet name="factors" sheetId="2" r:id="rId2"/>
    <sheet name="Germany" sheetId="3" r:id="rId3"/>
    <sheet name="Data" sheetId="4" r:id="rId4"/>
    <sheet name="Series - Metadata" sheetId="5" r:id="rId5"/>
    <sheet name="India" sheetId="6" r:id="rId6"/>
    <sheet name="Indonesia" sheetId="7" r:id="rId7"/>
    <sheet name="Vietnam" sheetId="8" r:id="rId8"/>
    <sheet name="Cambodia" sheetId="9" r:id="rId9"/>
    <sheet name="Thailand"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2" i="10" l="1"/>
  <c r="O72" i="10"/>
  <c r="M72" i="10"/>
  <c r="J72" i="10"/>
  <c r="I72" i="10"/>
  <c r="H72" i="10"/>
  <c r="G72" i="10"/>
  <c r="F72" i="10"/>
  <c r="E72" i="10"/>
  <c r="D72" i="10"/>
  <c r="C72" i="10"/>
  <c r="B72" i="10"/>
  <c r="S71" i="10"/>
  <c r="O71" i="10"/>
  <c r="L71" i="10"/>
  <c r="J71" i="10"/>
  <c r="I71" i="10"/>
  <c r="H71" i="10"/>
  <c r="G71" i="10"/>
  <c r="F71" i="10"/>
  <c r="E71" i="10"/>
  <c r="D71" i="10"/>
  <c r="C71" i="10"/>
  <c r="B71" i="10"/>
  <c r="S70" i="10"/>
  <c r="O70" i="10"/>
  <c r="L70" i="10"/>
  <c r="J70" i="10"/>
  <c r="I70" i="10"/>
  <c r="H70" i="10"/>
  <c r="G70" i="10"/>
  <c r="F70" i="10"/>
  <c r="E70" i="10"/>
  <c r="D70" i="10"/>
  <c r="C70" i="10"/>
  <c r="B70" i="10"/>
  <c r="S69" i="10"/>
  <c r="O69" i="10"/>
  <c r="L69" i="10"/>
  <c r="J69" i="10"/>
  <c r="I69" i="10"/>
  <c r="H69" i="10"/>
  <c r="G69" i="10"/>
  <c r="F69" i="10"/>
  <c r="E69" i="10"/>
  <c r="D69" i="10"/>
  <c r="C69" i="10"/>
  <c r="B69" i="10"/>
  <c r="S68" i="10"/>
  <c r="O68" i="10"/>
  <c r="M68" i="10"/>
  <c r="J68" i="10"/>
  <c r="I68" i="10"/>
  <c r="H68" i="10"/>
  <c r="G68" i="10"/>
  <c r="F68" i="10"/>
  <c r="E68" i="10"/>
  <c r="D68" i="10"/>
  <c r="C68" i="10"/>
  <c r="B68" i="10"/>
  <c r="S67" i="10"/>
  <c r="O67" i="10"/>
  <c r="L67" i="10"/>
  <c r="K67" i="10"/>
  <c r="J67" i="10"/>
  <c r="I67" i="10"/>
  <c r="H67" i="10"/>
  <c r="G67" i="10"/>
  <c r="F67" i="10"/>
  <c r="E67" i="10"/>
  <c r="D67" i="10"/>
  <c r="C67" i="10"/>
  <c r="B67" i="10"/>
  <c r="S66" i="10"/>
  <c r="O66" i="10"/>
  <c r="L66" i="10"/>
  <c r="J66" i="10"/>
  <c r="I66" i="10"/>
  <c r="H66" i="10"/>
  <c r="G66" i="10"/>
  <c r="F66" i="10"/>
  <c r="E66" i="10"/>
  <c r="D66" i="10"/>
  <c r="C66" i="10"/>
  <c r="B66" i="10"/>
  <c r="S65" i="10"/>
  <c r="O65" i="10"/>
  <c r="L65" i="10"/>
  <c r="J65" i="10"/>
  <c r="I65" i="10"/>
  <c r="H65" i="10"/>
  <c r="G65" i="10"/>
  <c r="F65" i="10"/>
  <c r="E65" i="10"/>
  <c r="D65" i="10"/>
  <c r="C65" i="10"/>
  <c r="B65" i="10"/>
  <c r="S64" i="10"/>
  <c r="O64" i="10"/>
  <c r="L64" i="10"/>
  <c r="K64" i="10"/>
  <c r="J64" i="10"/>
  <c r="I64" i="10"/>
  <c r="H64" i="10"/>
  <c r="G64" i="10"/>
  <c r="F64" i="10"/>
  <c r="E64" i="10"/>
  <c r="D64" i="10"/>
  <c r="C64" i="10"/>
  <c r="B64" i="10"/>
  <c r="K62" i="10"/>
  <c r="K58" i="10"/>
  <c r="K56" i="10"/>
  <c r="K65" i="10" s="1"/>
  <c r="K55" i="10"/>
  <c r="K53" i="10"/>
  <c r="K52" i="10"/>
  <c r="K51" i="10"/>
  <c r="K50" i="10"/>
  <c r="K49" i="10"/>
  <c r="K48" i="10"/>
  <c r="K47" i="10"/>
  <c r="K46" i="10"/>
  <c r="K45" i="10"/>
  <c r="K44" i="10"/>
  <c r="K43" i="10"/>
  <c r="K42" i="10"/>
  <c r="K41" i="10"/>
  <c r="K40" i="10"/>
  <c r="K39" i="10"/>
  <c r="K38" i="10"/>
  <c r="K66" i="10" s="1"/>
  <c r="K37" i="10"/>
  <c r="K35" i="10"/>
  <c r="K34" i="10"/>
  <c r="K33" i="10"/>
  <c r="K32" i="10"/>
  <c r="K31" i="10"/>
  <c r="K30" i="10"/>
  <c r="K29" i="10"/>
  <c r="K24" i="10"/>
  <c r="K72" i="10" s="1"/>
  <c r="K23" i="10"/>
  <c r="K22" i="10"/>
  <c r="K21" i="10"/>
  <c r="K20" i="10"/>
  <c r="K19" i="10"/>
  <c r="K18" i="10"/>
  <c r="K68" i="10" s="1"/>
  <c r="L17" i="10"/>
  <c r="K17" i="10"/>
  <c r="L16" i="10"/>
  <c r="K16" i="10"/>
  <c r="K15" i="10"/>
  <c r="K71" i="10" s="1"/>
  <c r="K14" i="10"/>
  <c r="K13" i="10"/>
  <c r="K12" i="10"/>
  <c r="K11" i="10"/>
  <c r="K10" i="10"/>
  <c r="K9" i="10"/>
  <c r="K8" i="10"/>
  <c r="K69" i="10" s="1"/>
  <c r="K7" i="10"/>
  <c r="K6" i="10"/>
  <c r="K5" i="10"/>
  <c r="K4" i="10"/>
  <c r="K3" i="10"/>
  <c r="K70" i="10" s="1"/>
  <c r="K2" i="10"/>
  <c r="S72" i="9"/>
  <c r="O72" i="9"/>
  <c r="M72" i="9"/>
  <c r="J72" i="9"/>
  <c r="I72" i="9"/>
  <c r="H72" i="9"/>
  <c r="G72" i="9"/>
  <c r="F72" i="9"/>
  <c r="E72" i="9"/>
  <c r="D72" i="9"/>
  <c r="C72" i="9"/>
  <c r="B72" i="9"/>
  <c r="S71" i="9"/>
  <c r="O71" i="9"/>
  <c r="L71" i="9"/>
  <c r="J71" i="9"/>
  <c r="I71" i="9"/>
  <c r="H71" i="9"/>
  <c r="G71" i="9"/>
  <c r="F71" i="9"/>
  <c r="E71" i="9"/>
  <c r="D71" i="9"/>
  <c r="C71" i="9"/>
  <c r="B71" i="9"/>
  <c r="S70" i="9"/>
  <c r="O70" i="9"/>
  <c r="L70" i="9"/>
  <c r="J70" i="9"/>
  <c r="I70" i="9"/>
  <c r="H70" i="9"/>
  <c r="G70" i="9"/>
  <c r="F70" i="9"/>
  <c r="E70" i="9"/>
  <c r="D70" i="9"/>
  <c r="C70" i="9"/>
  <c r="B70" i="9"/>
  <c r="S69" i="9"/>
  <c r="O69" i="9"/>
  <c r="L69" i="9"/>
  <c r="J69" i="9"/>
  <c r="I69" i="9"/>
  <c r="H69" i="9"/>
  <c r="G69" i="9"/>
  <c r="F69" i="9"/>
  <c r="E69" i="9"/>
  <c r="D69" i="9"/>
  <c r="C69" i="9"/>
  <c r="B69" i="9"/>
  <c r="S68" i="9"/>
  <c r="O68" i="9"/>
  <c r="M68" i="9"/>
  <c r="J68" i="9"/>
  <c r="I68" i="9"/>
  <c r="H68" i="9"/>
  <c r="G68" i="9"/>
  <c r="F68" i="9"/>
  <c r="E68" i="9"/>
  <c r="D68" i="9"/>
  <c r="C68" i="9"/>
  <c r="B68" i="9"/>
  <c r="S67" i="9"/>
  <c r="O67" i="9"/>
  <c r="L67" i="9"/>
  <c r="K67" i="9"/>
  <c r="J67" i="9"/>
  <c r="I67" i="9"/>
  <c r="H67" i="9"/>
  <c r="G67" i="9"/>
  <c r="F67" i="9"/>
  <c r="E67" i="9"/>
  <c r="D67" i="9"/>
  <c r="C67" i="9"/>
  <c r="B67" i="9"/>
  <c r="S66" i="9"/>
  <c r="O66" i="9"/>
  <c r="L66" i="9"/>
  <c r="K66" i="9"/>
  <c r="J66" i="9"/>
  <c r="I66" i="9"/>
  <c r="H66" i="9"/>
  <c r="G66" i="9"/>
  <c r="F66" i="9"/>
  <c r="E66" i="9"/>
  <c r="D66" i="9"/>
  <c r="C66" i="9"/>
  <c r="B66" i="9"/>
  <c r="S65" i="9"/>
  <c r="O65" i="9"/>
  <c r="L65" i="9"/>
  <c r="J65" i="9"/>
  <c r="I65" i="9"/>
  <c r="H65" i="9"/>
  <c r="G65" i="9"/>
  <c r="F65" i="9"/>
  <c r="E65" i="9"/>
  <c r="D65" i="9"/>
  <c r="C65" i="9"/>
  <c r="B65" i="9"/>
  <c r="S64" i="9"/>
  <c r="O64" i="9"/>
  <c r="L64" i="9"/>
  <c r="J64" i="9"/>
  <c r="I64" i="9"/>
  <c r="H64" i="9"/>
  <c r="G64" i="9"/>
  <c r="F64" i="9"/>
  <c r="E64" i="9"/>
  <c r="D64" i="9"/>
  <c r="C64" i="9"/>
  <c r="B64" i="9"/>
  <c r="K62" i="9"/>
  <c r="K58" i="9"/>
  <c r="K56" i="9"/>
  <c r="K65" i="9" s="1"/>
  <c r="K55" i="9"/>
  <c r="K53" i="9"/>
  <c r="K52" i="9"/>
  <c r="K51" i="9"/>
  <c r="K50" i="9"/>
  <c r="K49" i="9"/>
  <c r="K48" i="9"/>
  <c r="K47" i="9"/>
  <c r="K46" i="9"/>
  <c r="K45" i="9"/>
  <c r="K44" i="9"/>
  <c r="K43" i="9"/>
  <c r="K42" i="9"/>
  <c r="K41" i="9"/>
  <c r="K40" i="9"/>
  <c r="K39" i="9"/>
  <c r="K38" i="9"/>
  <c r="K37" i="9"/>
  <c r="K35" i="9"/>
  <c r="K34" i="9"/>
  <c r="K33" i="9"/>
  <c r="K64" i="9" s="1"/>
  <c r="K32" i="9"/>
  <c r="K31" i="9"/>
  <c r="K30" i="9"/>
  <c r="K29" i="9"/>
  <c r="K24" i="9"/>
  <c r="K72" i="9" s="1"/>
  <c r="K23" i="9"/>
  <c r="K22" i="9"/>
  <c r="K21" i="9"/>
  <c r="K20" i="9"/>
  <c r="K19" i="9"/>
  <c r="K18" i="9"/>
  <c r="K68" i="9" s="1"/>
  <c r="L17" i="9"/>
  <c r="K17" i="9"/>
  <c r="L16" i="9"/>
  <c r="K16" i="9"/>
  <c r="K15" i="9"/>
  <c r="K71" i="9" s="1"/>
  <c r="K14" i="9"/>
  <c r="K13" i="9"/>
  <c r="K12" i="9"/>
  <c r="K11" i="9"/>
  <c r="K10" i="9"/>
  <c r="K9" i="9"/>
  <c r="K8" i="9"/>
  <c r="K69" i="9" s="1"/>
  <c r="K7" i="9"/>
  <c r="K6" i="9"/>
  <c r="K5" i="9"/>
  <c r="K4" i="9"/>
  <c r="K3" i="9"/>
  <c r="K70" i="9" s="1"/>
  <c r="K2" i="9"/>
  <c r="S72" i="8"/>
  <c r="O72" i="8"/>
  <c r="M72" i="8"/>
  <c r="J72" i="8"/>
  <c r="I72" i="8"/>
  <c r="H72" i="8"/>
  <c r="G72" i="8"/>
  <c r="F72" i="8"/>
  <c r="E72" i="8"/>
  <c r="D72" i="8"/>
  <c r="C72" i="8"/>
  <c r="B72" i="8"/>
  <c r="S71" i="8"/>
  <c r="O71" i="8"/>
  <c r="L71" i="8"/>
  <c r="J71" i="8"/>
  <c r="I71" i="8"/>
  <c r="H71" i="8"/>
  <c r="G71" i="8"/>
  <c r="F71" i="8"/>
  <c r="E71" i="8"/>
  <c r="D71" i="8"/>
  <c r="C71" i="8"/>
  <c r="B71" i="8"/>
  <c r="S70" i="8"/>
  <c r="O70" i="8"/>
  <c r="L70" i="8"/>
  <c r="K70" i="8"/>
  <c r="J70" i="8"/>
  <c r="I70" i="8"/>
  <c r="H70" i="8"/>
  <c r="G70" i="8"/>
  <c r="F70" i="8"/>
  <c r="E70" i="8"/>
  <c r="D70" i="8"/>
  <c r="C70" i="8"/>
  <c r="B70" i="8"/>
  <c r="S69" i="8"/>
  <c r="O69" i="8"/>
  <c r="L69" i="8"/>
  <c r="K69" i="8"/>
  <c r="J69" i="8"/>
  <c r="I69" i="8"/>
  <c r="H69" i="8"/>
  <c r="G69" i="8"/>
  <c r="F69" i="8"/>
  <c r="E69" i="8"/>
  <c r="D69" i="8"/>
  <c r="C69" i="8"/>
  <c r="B69" i="8"/>
  <c r="S68" i="8"/>
  <c r="O68" i="8"/>
  <c r="M68" i="8"/>
  <c r="J68" i="8"/>
  <c r="I68" i="8"/>
  <c r="H68" i="8"/>
  <c r="G68" i="8"/>
  <c r="F68" i="8"/>
  <c r="E68" i="8"/>
  <c r="D68" i="8"/>
  <c r="C68" i="8"/>
  <c r="B68" i="8"/>
  <c r="S67" i="8"/>
  <c r="O67" i="8"/>
  <c r="L67" i="8"/>
  <c r="K67" i="8"/>
  <c r="J67" i="8"/>
  <c r="I67" i="8"/>
  <c r="H67" i="8"/>
  <c r="G67" i="8"/>
  <c r="F67" i="8"/>
  <c r="E67" i="8"/>
  <c r="D67" i="8"/>
  <c r="C67" i="8"/>
  <c r="B67" i="8"/>
  <c r="S66" i="8"/>
  <c r="O66" i="8"/>
  <c r="L66" i="8"/>
  <c r="K66" i="8"/>
  <c r="J66" i="8"/>
  <c r="I66" i="8"/>
  <c r="H66" i="8"/>
  <c r="G66" i="8"/>
  <c r="F66" i="8"/>
  <c r="E66" i="8"/>
  <c r="D66" i="8"/>
  <c r="C66" i="8"/>
  <c r="B66" i="8"/>
  <c r="S65" i="8"/>
  <c r="O65" i="8"/>
  <c r="L65" i="8"/>
  <c r="J65" i="8"/>
  <c r="I65" i="8"/>
  <c r="H65" i="8"/>
  <c r="G65" i="8"/>
  <c r="F65" i="8"/>
  <c r="E65" i="8"/>
  <c r="D65" i="8"/>
  <c r="C65" i="8"/>
  <c r="B65" i="8"/>
  <c r="S64" i="8"/>
  <c r="O64" i="8"/>
  <c r="L64" i="8"/>
  <c r="J64" i="8"/>
  <c r="I64" i="8"/>
  <c r="H64" i="8"/>
  <c r="G64" i="8"/>
  <c r="F64" i="8"/>
  <c r="E64" i="8"/>
  <c r="D64" i="8"/>
  <c r="C64" i="8"/>
  <c r="B64" i="8"/>
  <c r="K62" i="8"/>
  <c r="K58" i="8"/>
  <c r="K56" i="8"/>
  <c r="K65" i="8" s="1"/>
  <c r="K55" i="8"/>
  <c r="K53" i="8"/>
  <c r="K52" i="8"/>
  <c r="K51" i="8"/>
  <c r="K50" i="8"/>
  <c r="K49" i="8"/>
  <c r="K48" i="8"/>
  <c r="K47" i="8"/>
  <c r="K46" i="8"/>
  <c r="K45" i="8"/>
  <c r="K44" i="8"/>
  <c r="K43" i="8"/>
  <c r="K42" i="8"/>
  <c r="K41" i="8"/>
  <c r="K40" i="8"/>
  <c r="K39" i="8"/>
  <c r="K38" i="8"/>
  <c r="K37" i="8"/>
  <c r="K35" i="8"/>
  <c r="K34" i="8"/>
  <c r="K33" i="8"/>
  <c r="K64" i="8" s="1"/>
  <c r="K32" i="8"/>
  <c r="K31" i="8"/>
  <c r="K30" i="8"/>
  <c r="K29" i="8"/>
  <c r="K24" i="8"/>
  <c r="K72" i="8" s="1"/>
  <c r="K23" i="8"/>
  <c r="K22" i="8"/>
  <c r="K21" i="8"/>
  <c r="K20" i="8"/>
  <c r="K19" i="8"/>
  <c r="K18" i="8"/>
  <c r="K68" i="8" s="1"/>
  <c r="L17" i="8"/>
  <c r="K17" i="8"/>
  <c r="L16" i="8"/>
  <c r="K16" i="8"/>
  <c r="K15" i="8"/>
  <c r="K71" i="8" s="1"/>
  <c r="K14" i="8"/>
  <c r="K13" i="8"/>
  <c r="K12" i="8"/>
  <c r="K11" i="8"/>
  <c r="K10" i="8"/>
  <c r="K9" i="8"/>
  <c r="K8" i="8"/>
  <c r="K7" i="8"/>
  <c r="K6" i="8"/>
  <c r="K5" i="8"/>
  <c r="K4" i="8"/>
  <c r="K3" i="8"/>
  <c r="K2" i="8"/>
  <c r="S72" i="7"/>
  <c r="O72" i="7"/>
  <c r="M72" i="7"/>
  <c r="K72" i="7"/>
  <c r="J72" i="7"/>
  <c r="I72" i="7"/>
  <c r="H72" i="7"/>
  <c r="G72" i="7"/>
  <c r="F72" i="7"/>
  <c r="E72" i="7"/>
  <c r="D72" i="7"/>
  <c r="C72" i="7"/>
  <c r="B72" i="7"/>
  <c r="S71" i="7"/>
  <c r="O71" i="7"/>
  <c r="L71" i="7"/>
  <c r="K71" i="7"/>
  <c r="J71" i="7"/>
  <c r="I71" i="7"/>
  <c r="H71" i="7"/>
  <c r="G71" i="7"/>
  <c r="F71" i="7"/>
  <c r="E71" i="7"/>
  <c r="D71" i="7"/>
  <c r="C71" i="7"/>
  <c r="B71" i="7"/>
  <c r="S70" i="7"/>
  <c r="O70" i="7"/>
  <c r="L70" i="7"/>
  <c r="K70" i="7"/>
  <c r="J70" i="7"/>
  <c r="I70" i="7"/>
  <c r="H70" i="7"/>
  <c r="G70" i="7"/>
  <c r="F70" i="7"/>
  <c r="E70" i="7"/>
  <c r="D70" i="7"/>
  <c r="C70" i="7"/>
  <c r="B70" i="7"/>
  <c r="S69" i="7"/>
  <c r="O69" i="7"/>
  <c r="L69" i="7"/>
  <c r="J69" i="7"/>
  <c r="I69" i="7"/>
  <c r="H69" i="7"/>
  <c r="G69" i="7"/>
  <c r="F69" i="7"/>
  <c r="E69" i="7"/>
  <c r="D69" i="7"/>
  <c r="C69" i="7"/>
  <c r="B69" i="7"/>
  <c r="S68" i="7"/>
  <c r="O68" i="7"/>
  <c r="M68" i="7"/>
  <c r="J68" i="7"/>
  <c r="I68" i="7"/>
  <c r="H68" i="7"/>
  <c r="G68" i="7"/>
  <c r="F68" i="7"/>
  <c r="E68" i="7"/>
  <c r="D68" i="7"/>
  <c r="C68" i="7"/>
  <c r="B68" i="7"/>
  <c r="S67" i="7"/>
  <c r="O67" i="7"/>
  <c r="L67" i="7"/>
  <c r="K67" i="7"/>
  <c r="J67" i="7"/>
  <c r="I67" i="7"/>
  <c r="H67" i="7"/>
  <c r="G67" i="7"/>
  <c r="F67" i="7"/>
  <c r="E67" i="7"/>
  <c r="D67" i="7"/>
  <c r="C67" i="7"/>
  <c r="B67" i="7"/>
  <c r="S66" i="7"/>
  <c r="O66" i="7"/>
  <c r="L66" i="7"/>
  <c r="J66" i="7"/>
  <c r="I66" i="7"/>
  <c r="H66" i="7"/>
  <c r="G66" i="7"/>
  <c r="F66" i="7"/>
  <c r="E66" i="7"/>
  <c r="D66" i="7"/>
  <c r="C66" i="7"/>
  <c r="B66" i="7"/>
  <c r="S65" i="7"/>
  <c r="O65" i="7"/>
  <c r="L65" i="7"/>
  <c r="J65" i="7"/>
  <c r="I65" i="7"/>
  <c r="H65" i="7"/>
  <c r="G65" i="7"/>
  <c r="F65" i="7"/>
  <c r="E65" i="7"/>
  <c r="D65" i="7"/>
  <c r="C65" i="7"/>
  <c r="B65" i="7"/>
  <c r="S64" i="7"/>
  <c r="O64" i="7"/>
  <c r="L64" i="7"/>
  <c r="K64" i="7"/>
  <c r="J64" i="7"/>
  <c r="I64" i="7"/>
  <c r="H64" i="7"/>
  <c r="G64" i="7"/>
  <c r="F64" i="7"/>
  <c r="E64" i="7"/>
  <c r="D64" i="7"/>
  <c r="C64" i="7"/>
  <c r="B64" i="7"/>
  <c r="K62" i="7"/>
  <c r="K58" i="7"/>
  <c r="K56" i="7"/>
  <c r="K65" i="7" s="1"/>
  <c r="K55" i="7"/>
  <c r="K53" i="7"/>
  <c r="K52" i="7"/>
  <c r="K51" i="7"/>
  <c r="K50" i="7"/>
  <c r="K49" i="7"/>
  <c r="K48" i="7"/>
  <c r="K47" i="7"/>
  <c r="K46" i="7"/>
  <c r="K45" i="7"/>
  <c r="K44" i="7"/>
  <c r="K43" i="7"/>
  <c r="K42" i="7"/>
  <c r="K41" i="7"/>
  <c r="K40" i="7"/>
  <c r="K39" i="7"/>
  <c r="K38" i="7"/>
  <c r="K66" i="7" s="1"/>
  <c r="K37" i="7"/>
  <c r="K35" i="7"/>
  <c r="K34" i="7"/>
  <c r="K33" i="7"/>
  <c r="K32" i="7"/>
  <c r="K31" i="7"/>
  <c r="K30" i="7"/>
  <c r="K29" i="7"/>
  <c r="K24" i="7"/>
  <c r="K23" i="7"/>
  <c r="K22" i="7"/>
  <c r="K21" i="7"/>
  <c r="K20" i="7"/>
  <c r="K19" i="7"/>
  <c r="K18" i="7"/>
  <c r="K68" i="7" s="1"/>
  <c r="L17" i="7"/>
  <c r="K17" i="7"/>
  <c r="L16" i="7"/>
  <c r="K16" i="7"/>
  <c r="K15" i="7"/>
  <c r="K14" i="7"/>
  <c r="K13" i="7"/>
  <c r="K12" i="7"/>
  <c r="K11" i="7"/>
  <c r="K10" i="7"/>
  <c r="K9" i="7"/>
  <c r="K8" i="7"/>
  <c r="K69" i="7" s="1"/>
  <c r="K7" i="7"/>
  <c r="K6" i="7"/>
  <c r="K5" i="7"/>
  <c r="K4" i="7"/>
  <c r="K3" i="7"/>
  <c r="K2" i="7"/>
  <c r="S72" i="6"/>
  <c r="O72" i="6"/>
  <c r="M72" i="6"/>
  <c r="J72" i="6"/>
  <c r="I72" i="6"/>
  <c r="H72" i="6"/>
  <c r="G72" i="6"/>
  <c r="F72" i="6"/>
  <c r="E72" i="6"/>
  <c r="D72" i="6"/>
  <c r="C72" i="6"/>
  <c r="B72" i="6"/>
  <c r="S71" i="6"/>
  <c r="O71" i="6"/>
  <c r="L71" i="6"/>
  <c r="K71" i="6"/>
  <c r="J71" i="6"/>
  <c r="I71" i="6"/>
  <c r="H71" i="6"/>
  <c r="G71" i="6"/>
  <c r="F71" i="6"/>
  <c r="E71" i="6"/>
  <c r="D71" i="6"/>
  <c r="C71" i="6"/>
  <c r="B71" i="6"/>
  <c r="S70" i="6"/>
  <c r="O70" i="6"/>
  <c r="L70" i="6"/>
  <c r="J70" i="6"/>
  <c r="I70" i="6"/>
  <c r="H70" i="6"/>
  <c r="G70" i="6"/>
  <c r="F70" i="6"/>
  <c r="E70" i="6"/>
  <c r="D70" i="6"/>
  <c r="C70" i="6"/>
  <c r="B70" i="6"/>
  <c r="S69" i="6"/>
  <c r="O69" i="6"/>
  <c r="L69" i="6"/>
  <c r="J69" i="6"/>
  <c r="I69" i="6"/>
  <c r="H69" i="6"/>
  <c r="G69" i="6"/>
  <c r="F69" i="6"/>
  <c r="E69" i="6"/>
  <c r="D69" i="6"/>
  <c r="C69" i="6"/>
  <c r="B69" i="6"/>
  <c r="S68" i="6"/>
  <c r="O68" i="6"/>
  <c r="M68" i="6"/>
  <c r="J68" i="6"/>
  <c r="I68" i="6"/>
  <c r="H68" i="6"/>
  <c r="G68" i="6"/>
  <c r="F68" i="6"/>
  <c r="E68" i="6"/>
  <c r="D68" i="6"/>
  <c r="C68" i="6"/>
  <c r="B68" i="6"/>
  <c r="S67" i="6"/>
  <c r="O67" i="6"/>
  <c r="L67" i="6"/>
  <c r="K67" i="6"/>
  <c r="J67" i="6"/>
  <c r="I67" i="6"/>
  <c r="H67" i="6"/>
  <c r="G67" i="6"/>
  <c r="F67" i="6"/>
  <c r="E67" i="6"/>
  <c r="D67" i="6"/>
  <c r="C67" i="6"/>
  <c r="B67" i="6"/>
  <c r="S66" i="6"/>
  <c r="O66" i="6"/>
  <c r="L66" i="6"/>
  <c r="K66" i="6"/>
  <c r="J66" i="6"/>
  <c r="I66" i="6"/>
  <c r="H66" i="6"/>
  <c r="G66" i="6"/>
  <c r="F66" i="6"/>
  <c r="E66" i="6"/>
  <c r="D66" i="6"/>
  <c r="C66" i="6"/>
  <c r="B66" i="6"/>
  <c r="S65" i="6"/>
  <c r="O65" i="6"/>
  <c r="L65" i="6"/>
  <c r="K65" i="6"/>
  <c r="J65" i="6"/>
  <c r="I65" i="6"/>
  <c r="H65" i="6"/>
  <c r="G65" i="6"/>
  <c r="F65" i="6"/>
  <c r="E65" i="6"/>
  <c r="D65" i="6"/>
  <c r="C65" i="6"/>
  <c r="B65" i="6"/>
  <c r="S64" i="6"/>
  <c r="O64" i="6"/>
  <c r="L64" i="6"/>
  <c r="K64" i="6"/>
  <c r="J64" i="6"/>
  <c r="I64" i="6"/>
  <c r="H64" i="6"/>
  <c r="G64" i="6"/>
  <c r="F64" i="6"/>
  <c r="E64" i="6"/>
  <c r="D64" i="6"/>
  <c r="C64" i="6"/>
  <c r="B64" i="6"/>
  <c r="K62" i="6"/>
  <c r="K58" i="6"/>
  <c r="K56" i="6"/>
  <c r="K55" i="6"/>
  <c r="K53" i="6"/>
  <c r="K52" i="6"/>
  <c r="K51" i="6"/>
  <c r="K50" i="6"/>
  <c r="K49" i="6"/>
  <c r="K48" i="6"/>
  <c r="K47" i="6"/>
  <c r="K46" i="6"/>
  <c r="K45" i="6"/>
  <c r="K44" i="6"/>
  <c r="K43" i="6"/>
  <c r="K42" i="6"/>
  <c r="K41" i="6"/>
  <c r="K40" i="6"/>
  <c r="K39" i="6"/>
  <c r="K38" i="6"/>
  <c r="K37" i="6"/>
  <c r="K35" i="6"/>
  <c r="K34" i="6"/>
  <c r="K33" i="6"/>
  <c r="K32" i="6"/>
  <c r="K31" i="6"/>
  <c r="K30" i="6"/>
  <c r="K29" i="6"/>
  <c r="K24" i="6"/>
  <c r="K72" i="6" s="1"/>
  <c r="K23" i="6"/>
  <c r="K22" i="6"/>
  <c r="K21" i="6"/>
  <c r="K20" i="6"/>
  <c r="K19" i="6"/>
  <c r="K18" i="6"/>
  <c r="K68" i="6" s="1"/>
  <c r="L17" i="6"/>
  <c r="K17" i="6"/>
  <c r="L16" i="6"/>
  <c r="K16" i="6"/>
  <c r="K15" i="6"/>
  <c r="K14" i="6"/>
  <c r="K13" i="6"/>
  <c r="K12" i="6"/>
  <c r="K11" i="6"/>
  <c r="K10" i="6"/>
  <c r="K9" i="6"/>
  <c r="K8" i="6"/>
  <c r="K69" i="6" s="1"/>
  <c r="K7" i="6"/>
  <c r="K6" i="6"/>
  <c r="K5" i="6"/>
  <c r="K4" i="6"/>
  <c r="K3" i="6"/>
  <c r="K70" i="6" s="1"/>
  <c r="K2" i="6"/>
  <c r="S72" i="3"/>
  <c r="O72" i="3"/>
  <c r="M72" i="3"/>
  <c r="J72" i="3"/>
  <c r="I72" i="3"/>
  <c r="H72" i="3"/>
  <c r="G72" i="3"/>
  <c r="F72" i="3"/>
  <c r="E72" i="3"/>
  <c r="D72" i="3"/>
  <c r="C72" i="3"/>
  <c r="B72" i="3"/>
  <c r="S71" i="3"/>
  <c r="O71" i="3"/>
  <c r="L71" i="3"/>
  <c r="J71" i="3"/>
  <c r="I71" i="3"/>
  <c r="H71" i="3"/>
  <c r="G71" i="3"/>
  <c r="F71" i="3"/>
  <c r="E71" i="3"/>
  <c r="D71" i="3"/>
  <c r="C71" i="3"/>
  <c r="B71" i="3"/>
  <c r="S70" i="3"/>
  <c r="O70" i="3"/>
  <c r="L70" i="3"/>
  <c r="J70" i="3"/>
  <c r="I70" i="3"/>
  <c r="H70" i="3"/>
  <c r="G70" i="3"/>
  <c r="F70" i="3"/>
  <c r="E70" i="3"/>
  <c r="D70" i="3"/>
  <c r="C70" i="3"/>
  <c r="B70" i="3"/>
  <c r="S69" i="3"/>
  <c r="O69" i="3"/>
  <c r="L69" i="3"/>
  <c r="J69" i="3"/>
  <c r="I69" i="3"/>
  <c r="H69" i="3"/>
  <c r="G69" i="3"/>
  <c r="F69" i="3"/>
  <c r="E69" i="3"/>
  <c r="D69" i="3"/>
  <c r="C69" i="3"/>
  <c r="B69" i="3"/>
  <c r="S68" i="3"/>
  <c r="O68" i="3"/>
  <c r="M68" i="3"/>
  <c r="J68" i="3"/>
  <c r="I68" i="3"/>
  <c r="H68" i="3"/>
  <c r="G68" i="3"/>
  <c r="F68" i="3"/>
  <c r="E68" i="3"/>
  <c r="D68" i="3"/>
  <c r="C68" i="3"/>
  <c r="B68" i="3"/>
  <c r="S67" i="3"/>
  <c r="O67" i="3"/>
  <c r="L67" i="3"/>
  <c r="K67" i="3"/>
  <c r="J67" i="3"/>
  <c r="I67" i="3"/>
  <c r="H67" i="3"/>
  <c r="G67" i="3"/>
  <c r="F67" i="3"/>
  <c r="E67" i="3"/>
  <c r="D67" i="3"/>
  <c r="C67" i="3"/>
  <c r="B67" i="3"/>
  <c r="S66" i="3"/>
  <c r="O66" i="3"/>
  <c r="L66" i="3"/>
  <c r="K66" i="3"/>
  <c r="J66" i="3"/>
  <c r="I66" i="3"/>
  <c r="H66" i="3"/>
  <c r="G66" i="3"/>
  <c r="F66" i="3"/>
  <c r="E66" i="3"/>
  <c r="D66" i="3"/>
  <c r="C66" i="3"/>
  <c r="B66" i="3"/>
  <c r="S65" i="3"/>
  <c r="O65" i="3"/>
  <c r="L65" i="3"/>
  <c r="J65" i="3"/>
  <c r="I65" i="3"/>
  <c r="H65" i="3"/>
  <c r="G65" i="3"/>
  <c r="F65" i="3"/>
  <c r="E65" i="3"/>
  <c r="D65" i="3"/>
  <c r="C65" i="3"/>
  <c r="B65" i="3"/>
  <c r="S64" i="3"/>
  <c r="O64" i="3"/>
  <c r="L64" i="3"/>
  <c r="J64" i="3"/>
  <c r="I64" i="3"/>
  <c r="H64" i="3"/>
  <c r="G64" i="3"/>
  <c r="F64" i="3"/>
  <c r="E64" i="3"/>
  <c r="D64" i="3"/>
  <c r="C64" i="3"/>
  <c r="B64" i="3"/>
  <c r="K62" i="3"/>
  <c r="K58" i="3"/>
  <c r="K56" i="3"/>
  <c r="K65" i="3" s="1"/>
  <c r="K55" i="3"/>
  <c r="K53" i="3"/>
  <c r="K52" i="3"/>
  <c r="K51" i="3"/>
  <c r="K50" i="3"/>
  <c r="K49" i="3"/>
  <c r="K48" i="3"/>
  <c r="K47" i="3"/>
  <c r="K46" i="3"/>
  <c r="K45" i="3"/>
  <c r="K44" i="3"/>
  <c r="K43" i="3"/>
  <c r="K42" i="3"/>
  <c r="K41" i="3"/>
  <c r="K40" i="3"/>
  <c r="K39" i="3"/>
  <c r="K38" i="3"/>
  <c r="K37" i="3"/>
  <c r="K35" i="3"/>
  <c r="K34" i="3"/>
  <c r="K33" i="3"/>
  <c r="K64" i="3" s="1"/>
  <c r="K32" i="3"/>
  <c r="K31" i="3"/>
  <c r="K30" i="3"/>
  <c r="K29" i="3"/>
  <c r="K24" i="3"/>
  <c r="K72" i="3" s="1"/>
  <c r="K23" i="3"/>
  <c r="K22" i="3"/>
  <c r="K21" i="3"/>
  <c r="K20" i="3"/>
  <c r="K19" i="3"/>
  <c r="K18" i="3"/>
  <c r="K68" i="3" s="1"/>
  <c r="L17" i="3"/>
  <c r="K17" i="3"/>
  <c r="L16" i="3"/>
  <c r="K16" i="3"/>
  <c r="K15" i="3"/>
  <c r="K71" i="3" s="1"/>
  <c r="K14" i="3"/>
  <c r="K13" i="3"/>
  <c r="K12" i="3"/>
  <c r="K11" i="3"/>
  <c r="K10" i="3"/>
  <c r="K9" i="3"/>
  <c r="K8" i="3"/>
  <c r="K69" i="3" s="1"/>
  <c r="K7" i="3"/>
  <c r="K6" i="3"/>
  <c r="K5" i="3"/>
  <c r="K4" i="3"/>
  <c r="K3" i="3"/>
  <c r="K70" i="3" s="1"/>
  <c r="K2" i="3"/>
  <c r="G99" i="2"/>
  <c r="E99" i="2"/>
  <c r="B99" i="2"/>
  <c r="K99" i="2" s="1"/>
  <c r="M99" i="2" s="1"/>
  <c r="G98" i="2"/>
  <c r="B98" i="2" s="1"/>
  <c r="K98" i="2" s="1"/>
  <c r="M98" i="2" s="1"/>
  <c r="E98" i="2"/>
  <c r="G97" i="2"/>
  <c r="E97" i="2"/>
  <c r="B97" i="2" s="1"/>
  <c r="K97" i="2" s="1"/>
  <c r="M97" i="2" s="1"/>
  <c r="G96" i="2"/>
  <c r="E96" i="2"/>
  <c r="B96" i="2" s="1"/>
  <c r="K96" i="2" s="1"/>
  <c r="M96" i="2" s="1"/>
  <c r="G95" i="2"/>
  <c r="E95" i="2"/>
  <c r="B95" i="2" s="1"/>
  <c r="K95" i="2" s="1"/>
  <c r="M95" i="2" s="1"/>
  <c r="G94" i="2"/>
  <c r="E94" i="2"/>
  <c r="B94" i="2"/>
  <c r="K94" i="2" s="1"/>
  <c r="M94" i="2" s="1"/>
  <c r="D88" i="2"/>
  <c r="G77" i="2"/>
  <c r="E77" i="2"/>
  <c r="B77" i="2" s="1"/>
  <c r="K77" i="2" s="1"/>
  <c r="M77" i="2" s="1"/>
  <c r="G76" i="2"/>
  <c r="E76" i="2"/>
  <c r="B76" i="2" s="1"/>
  <c r="K76" i="2" s="1"/>
  <c r="M76" i="2" s="1"/>
  <c r="G75" i="2"/>
  <c r="E75" i="2"/>
  <c r="B75" i="2"/>
  <c r="K75" i="2" s="1"/>
  <c r="M75" i="2" s="1"/>
  <c r="G74" i="2"/>
  <c r="E74" i="2"/>
  <c r="B74" i="2"/>
  <c r="G73" i="2"/>
  <c r="B73" i="2" s="1"/>
  <c r="K73" i="2" s="1"/>
  <c r="M73" i="2" s="1"/>
  <c r="E73" i="2"/>
  <c r="G72" i="2"/>
  <c r="E72" i="2"/>
  <c r="B72" i="2"/>
  <c r="K72" i="2" s="1"/>
  <c r="M72" i="2" s="1"/>
  <c r="D66" i="2"/>
  <c r="K74" i="2" s="1"/>
  <c r="M74" i="2" s="1"/>
  <c r="G55" i="2"/>
  <c r="E55" i="2"/>
  <c r="B55" i="2"/>
  <c r="K55" i="2" s="1"/>
  <c r="M55" i="2" s="1"/>
  <c r="G54" i="2"/>
  <c r="B54" i="2" s="1"/>
  <c r="K54" i="2" s="1"/>
  <c r="M54" i="2" s="1"/>
  <c r="E54" i="2"/>
  <c r="G53" i="2"/>
  <c r="E53" i="2"/>
  <c r="B53" i="2"/>
  <c r="K53" i="2" s="1"/>
  <c r="M53" i="2" s="1"/>
  <c r="G52" i="2"/>
  <c r="B52" i="2" s="1"/>
  <c r="K52" i="2" s="1"/>
  <c r="M52" i="2" s="1"/>
  <c r="E52" i="2"/>
  <c r="G51" i="2"/>
  <c r="E51" i="2"/>
  <c r="B51" i="2" s="1"/>
  <c r="K51" i="2" s="1"/>
  <c r="M51" i="2" s="1"/>
  <c r="G50" i="2"/>
  <c r="E50" i="2"/>
  <c r="B50" i="2" s="1"/>
  <c r="K50" i="2" s="1"/>
  <c r="M50" i="2" s="1"/>
  <c r="D44" i="2"/>
  <c r="G33" i="2"/>
  <c r="B33" i="2" s="1"/>
  <c r="E33" i="2"/>
  <c r="G32" i="2"/>
  <c r="E32" i="2"/>
  <c r="B32" i="2" s="1"/>
  <c r="G31" i="2"/>
  <c r="E31" i="2"/>
  <c r="B31" i="2" s="1"/>
  <c r="G30" i="2"/>
  <c r="E30" i="2"/>
  <c r="B30" i="2" s="1"/>
  <c r="G29" i="2"/>
  <c r="E29" i="2"/>
  <c r="B29" i="2"/>
  <c r="G28" i="2"/>
  <c r="E28" i="2"/>
  <c r="B28" i="2"/>
  <c r="K28" i="2" s="1"/>
  <c r="M28" i="2" s="1"/>
  <c r="D22" i="2"/>
  <c r="G11" i="2"/>
  <c r="E11" i="2"/>
  <c r="B11" i="2" s="1"/>
  <c r="K33" i="2" s="1"/>
  <c r="M33" i="2" s="1"/>
  <c r="G10" i="2"/>
  <c r="B10" i="2" s="1"/>
  <c r="K32" i="2" s="1"/>
  <c r="E10" i="2"/>
  <c r="G9" i="2"/>
  <c r="E9" i="2"/>
  <c r="B9" i="2"/>
  <c r="K31" i="2" s="1"/>
  <c r="M31" i="2" s="1"/>
  <c r="G8" i="2"/>
  <c r="B8" i="2" s="1"/>
  <c r="K30" i="2" s="1"/>
  <c r="E8" i="2"/>
  <c r="G7" i="2"/>
  <c r="E7" i="2"/>
  <c r="B7" i="2"/>
  <c r="K29" i="2" s="1"/>
  <c r="M29" i="2" s="1"/>
  <c r="G6" i="2"/>
  <c r="E6" i="2"/>
  <c r="B6" i="2"/>
  <c r="Q213" i="4"/>
  <c r="Q194" i="4"/>
  <c r="Q92" i="4"/>
  <c r="Q91" i="4"/>
  <c r="Q75" i="4"/>
  <c r="Q35" i="4"/>
  <c r="M30" i="2" l="1"/>
  <c r="M32" i="2"/>
</calcChain>
</file>

<file path=xl/sharedStrings.xml><?xml version="1.0" encoding="utf-8"?>
<sst xmlns="http://schemas.openxmlformats.org/spreadsheetml/2006/main" count="6683" uniqueCount="905">
  <si>
    <t>CORRECTED ADJUSTMENT FACTORS - Tiered Methodology</t>
  </si>
  <si>
    <t>Generated: 2025-02-19 | Method: Material-specific tiered approach</t>
  </si>
  <si>
    <t>1. UPDATED GRID EMISSION FACTORS (kgCO2/kWh)</t>
  </si>
  <si>
    <t>Country</t>
  </si>
  <si>
    <t>Grid Factor</t>
  </si>
  <si>
    <t>Source</t>
  </si>
  <si>
    <t>Year</t>
  </si>
  <si>
    <t>Ratio vs DE</t>
  </si>
  <si>
    <t>Germany</t>
  </si>
  <si>
    <t>UBA / Fraunhofer ISE</t>
  </si>
  <si>
    <t>2023</t>
  </si>
  <si>
    <t>India</t>
  </si>
  <si>
    <t>CEA V20.0 CO2 Baseline Database</t>
  </si>
  <si>
    <t>2023-24</t>
  </si>
  <si>
    <t>Indonesia</t>
  </si>
  <si>
    <t>Estimated from Ember/IESR grid mix</t>
  </si>
  <si>
    <t>Vietnam</t>
  </si>
  <si>
    <t>Vietnam Dept. of Climate Change (DoCC)</t>
  </si>
  <si>
    <t>Cambodia</t>
  </si>
  <si>
    <t>Estimated from grid mix (41% coal, 25% hydro)</t>
  </si>
  <si>
    <t>2024</t>
  </si>
  <si>
    <t>Thailand</t>
  </si>
  <si>
    <t>Average of CEIC and EGAT reports</t>
  </si>
  <si>
    <t>2. MATERIAL-SPECIFIC ADJUSTMENT FACTORS</t>
  </si>
  <si>
    <t>Tier</t>
  </si>
  <si>
    <t>Material Category</t>
  </si>
  <si>
    <t>Method</t>
  </si>
  <si>
    <t>Data Source</t>
  </si>
  <si>
    <t>T1</t>
  </si>
  <si>
    <t>Cement/Concrete</t>
  </si>
  <si>
    <t>Actual cement CO2 intensity</t>
  </si>
  <si>
    <t>GCCA GNR, GCCA-TERI, NDF Vietnam</t>
  </si>
  <si>
    <t>Clay Brick</t>
  </si>
  <si>
    <t>Actual kiln tech + fuel data</t>
  </si>
  <si>
    <t>CCAC, CATF, IEA brick assessments</t>
  </si>
  <si>
    <t>Steel</t>
  </si>
  <si>
    <t>Production route CO2 data</t>
  </si>
  <si>
    <t>World Steel Assoc, IEEFA, SEAISI</t>
  </si>
  <si>
    <t>Steel (BF-BOF products)</t>
  </si>
  <si>
    <t>Decomposition: BF-BOF factor</t>
  </si>
  <si>
    <t>Steel Climate Impact 2025, Krakatau Steel</t>
  </si>
  <si>
    <t>T1/T2</t>
  </si>
  <si>
    <t>AAC (Aerated Concrete)</t>
  </si>
  <si>
    <t>Cement ratio + 3-comp autoclaving</t>
  </si>
  <si>
    <t>GCCA + 3-component formula</t>
  </si>
  <si>
    <t>T2</t>
  </si>
  <si>
    <t>Natural Stone</t>
  </si>
  <si>
    <t>3-comp (P=0, F=40%, E=60%)</t>
  </si>
  <si>
    <t>IEA, modified AdjustmentFactor_EmbC</t>
  </si>
  <si>
    <t>Sand-Lime Brick</t>
  </si>
  <si>
    <t>3-comp (P=5%, F=55%, E=40%)</t>
  </si>
  <si>
    <t>Corrected from original 70% elec</t>
  </si>
  <si>
    <t>Gypsum</t>
  </si>
  <si>
    <t>IEA, UNIDO</t>
  </si>
  <si>
    <t>Mineral Wool</t>
  </si>
  <si>
    <t>3-comp (P=0, F=65%, E=35%)</t>
  </si>
  <si>
    <t>IEA, AdjustmentFactor_EmbC</t>
  </si>
  <si>
    <t>EPS/XPS Foam</t>
  </si>
  <si>
    <t>A1(75%) + A3(25%)</t>
  </si>
  <si>
    <t>Global commodity + local energy</t>
  </si>
  <si>
    <t>T3</t>
  </si>
  <si>
    <t>Timber</t>
  </si>
  <si>
    <t>Biogenic fixed + mfg scaled</t>
  </si>
  <si>
    <t>varies</t>
  </si>
  <si>
    <t>EN 16449 + local energy factor</t>
  </si>
  <si>
    <t>Adobe/Rammed Earth</t>
  </si>
  <si>
    <t>3-comp (P=0, F=60%, E=40%)</t>
  </si>
  <si>
    <t>Low-energy, manual processes</t>
  </si>
  <si>
    <t>Coatings/Bitumen</t>
  </si>
  <si>
    <t>A1(70%) + A3(30%)</t>
  </si>
  <si>
    <t>Chemical commodity + local energy</t>
  </si>
  <si>
    <t>Lime Plaster</t>
  </si>
  <si>
    <t>3-comp (P=60%, F=35%, E=5%)</t>
  </si>
  <si>
    <t>High process emissions (CaCO3-&gt;CaO)</t>
  </si>
  <si>
    <t>3. COMPARISON: OLD BLANKET vs CORRECTED FACTORS</t>
  </si>
  <si>
    <t>Old Blanket Factor</t>
  </si>
  <si>
    <t>4. KEY FINDINGS</t>
  </si>
  <si>
    <t>v4 REVISION: Steel decomposition model + Indonesia steel update.</t>
  </si>
  <si>
    <t>v3 PRINCIPLE (unchanged): Industry average, not best-in-class producers.</t>
  </si>
  <si>
    <t xml:space="preserve">  -&gt; EPDs (ACC Concrete, Tata Steel) are from GREEN LEADERS with best-in-class performance</t>
  </si>
  <si>
    <t xml:space="preserve">  -&gt; Generic EPDs must represent typical industry emissions, which are 15-25% HIGHER</t>
  </si>
  <si>
    <t>v4 STEEL FIX: Production-route-aware decomposition model replaces single-factor.</t>
  </si>
  <si>
    <t xml:space="preserve">  -&gt; PROBLEM: OKOBAUDAT steel products have vastly different baselines (0.64 to 2.92 kgCO2/kg)</t>
  </si>
  <si>
    <t xml:space="preserve">  -&gt; Old approach: single factor (e.g. 3.75 for Cambodia) applied to ALL products</t>
  </si>
  <si>
    <t xml:space="preserve">  -&gt; This created ABSURD values for high-baseline products (2.92 x 3.75 = 10.96 kgCO2/kg)</t>
  </si>
  <si>
    <t xml:space="preserve">  -&gt; FIX: Decompose into CRUDE STEEL (route factor) + PROCESSING (energy factor)</t>
  </si>
  <si>
    <t xml:space="preserve">  -&gt; EAF-dominant products (rebar, DE&lt;=0.84): full route factor on crude portion</t>
  </si>
  <si>
    <t xml:space="preserve">  -&gt; BF-BOF products (sections, DE&gt;0.84): BF-BOF-specific factor + energy factor on processing</t>
  </si>
  <si>
    <t xml:space="preserve">  -&gt; Result: Rebar ~2.2 kgCO2/kg (reasonable), Sections ~3.5 (was 10.96!)</t>
  </si>
  <si>
    <t>v4 INDONESIA STEEL: Revised 1.90 -&gt; 1.60 tCO2/t based on AEER/Climate Catalyst 2026</t>
  </si>
  <si>
    <t xml:space="preserve">  -&gt; Previous value (1.90) was estimated; 2026 industry research confirms 1.6 tCO2/t</t>
  </si>
  <si>
    <t>CEMENT (unchanged from v3): India OPC 920, Indonesia 870, Vietnam 870, Cambodia 880, Thailand 800</t>
  </si>
  <si>
    <t>STEEL NATIONAL AVERAGES: India 2.55, Indonesia 1.60, Vietnam 2.15, Cambodia 2.10, Thailand 1.75</t>
  </si>
  <si>
    <t>STEEL BF-BOF SPECIFICS: India 2.90, Indonesia 2.90, Vietnam 2.30, Cambodia 2.30, Thailand 2.20</t>
  </si>
  <si>
    <t xml:space="preserve">  -&gt; Thailand: 100% domestic EAF production; imports from BF-BOF countries (CN/JP/KR)</t>
  </si>
  <si>
    <t xml:space="preserve">  -&gt; 1.75 is consumption-weighted (40% domestic EAF ~1.0 + 60% imported BF-BOF ~2.2)</t>
  </si>
  <si>
    <t>UNCERTAINTY LEVELS:</t>
  </si>
  <si>
    <t xml:space="preserve">  Tier 1 (Cement, Brick): +/- 10-20% (grounded in research and EPD validation)</t>
  </si>
  <si>
    <t xml:space="preserve">  Tier 1 (Steel EAF products): +/- 15-25% (route factor well-established)</t>
  </si>
  <si>
    <t xml:space="preserve">  Tier 1 (Steel BF-BOF products): +/- 10-20% (BF-BOF is similar globally)</t>
  </si>
  <si>
    <t xml:space="preserve">  Tier 2 (3-component materials): +/- 25-35% (emission splits are approximate)</t>
  </si>
  <si>
    <t xml:space="preserve">  Tier 3 (Timber): +/- 20-30% (biogenic carbon well-established, manufacturing uncertain)</t>
  </si>
  <si>
    <t>factors to convert between countries</t>
  </si>
  <si>
    <t>The values for Penrt and GWP are scaled up from German generic EPDs. The factor used is determined as the product of carbon emissions for electricity [ g/kWh ] and primary energy per ecomic performance [ kg oil/1000$ GDP ] related to values from Germany.</t>
  </si>
  <si>
    <t>CO2-emission in 2022 [ g / kWhel ]</t>
  </si>
  <si>
    <t>kg oil per 1000$ GDP in 2000</t>
  </si>
  <si>
    <t>Datenquelle:</t>
  </si>
  <si>
    <t>https://ourworldindata.org/grapher/carbon-intensity-electricity?tab=table</t>
  </si>
  <si>
    <t>World Development Indicators | DataBank</t>
  </si>
  <si>
    <t>Energy use (kg of oil equivalent) per $1,000 GDP (constant 2021 PPP) (EG.USE.COMM.GD.PP.KD)</t>
  </si>
  <si>
    <t>Factor for Cement Products</t>
  </si>
  <si>
    <t>used for the generic EPDs</t>
  </si>
  <si>
    <t>process emissions</t>
  </si>
  <si>
    <t>fuel for curring</t>
  </si>
  <si>
    <t>electricy</t>
  </si>
  <si>
    <t>content in material</t>
  </si>
  <si>
    <t>assumption</t>
  </si>
  <si>
    <t>process efficiency</t>
  </si>
  <si>
    <t>Factor for Sand-Lime Brick</t>
  </si>
  <si>
    <t>Factor for Clay Brick</t>
  </si>
  <si>
    <t>Factor for Aerated Concrete (AAC) Block</t>
  </si>
  <si>
    <t>UUID</t>
  </si>
  <si>
    <t>level_0_index</t>
  </si>
  <si>
    <t>level_0_text</t>
  </si>
  <si>
    <t>level_1_index</t>
  </si>
  <si>
    <t>level_1_text</t>
  </si>
  <si>
    <t>level_2_index</t>
  </si>
  <si>
    <t>level_2_text</t>
  </si>
  <si>
    <t>country</t>
  </si>
  <si>
    <t>name</t>
  </si>
  <si>
    <t>declared_unit</t>
  </si>
  <si>
    <t>weight [kg]</t>
  </si>
  <si>
    <t>volume density [kg/m3]</t>
  </si>
  <si>
    <t>area density [kg/m2]</t>
  </si>
  <si>
    <t>linear density [kg/m]</t>
  </si>
  <si>
    <t>penrt_a1a3 [MJ]</t>
  </si>
  <si>
    <t>penrt_c3 [MJ]</t>
  </si>
  <si>
    <t>penrt_c4 [MJ]</t>
  </si>
  <si>
    <t>penrt_d [MJ]</t>
  </si>
  <si>
    <t>gwp_a1a3 [kgCo2e]</t>
  </si>
  <si>
    <t>gwp_c3  [kgCo2e]</t>
  </si>
  <si>
    <t>gwp_c4 [kgCo2e]</t>
  </si>
  <si>
    <t>gwp_d  [kgCo2e]</t>
  </si>
  <si>
    <t>c916ceb3-a44d-40b7-8984-861afa589956</t>
  </si>
  <si>
    <t>Mineral building products</t>
  </si>
  <si>
    <t>Bricks, blocks and elements</t>
  </si>
  <si>
    <t>Sand lime brick</t>
  </si>
  <si>
    <t>DE</t>
  </si>
  <si>
    <t>Sand-lime brick</t>
  </si>
  <si>
    <t>m³</t>
  </si>
  <si>
    <t>1401638f-b9d7-4b33-9444-b072e2756f49</t>
  </si>
  <si>
    <t>Fired brick</t>
  </si>
  <si>
    <t>Facing brick; clay- based</t>
  </si>
  <si>
    <t>1a365e34-0b95-4c5c-973d-11a038eb7414</t>
  </si>
  <si>
    <t>Facade clinker</t>
  </si>
  <si>
    <t>127a23f5-d954-41c9-8f8a-ecca18aca691</t>
  </si>
  <si>
    <t>Facing bricks</t>
  </si>
  <si>
    <t>m²</t>
  </si>
  <si>
    <t>c5310f2b-23a1-4059-ba25-80d9b3e933f5</t>
  </si>
  <si>
    <t>Aerated concrete</t>
  </si>
  <si>
    <t>Aerated concrete P2 04 non-reinforced; average density 380 kg/m3</t>
  </si>
  <si>
    <t>45e2894f-09e7-4152-a4bd-8a13f6d5b0c3</t>
  </si>
  <si>
    <t>Aerated concrete P4 05 reinforced; average density 472 kg/m3</t>
  </si>
  <si>
    <t xml:space="preserve">	f1e6c40e-3f2e-4435-9fd8-abc2dd96c38c</t>
  </si>
  <si>
    <t>Aerated concrete P4 05 non-reinforced; average density 500 kg/m3, reinforced</t>
  </si>
  <si>
    <t xml:space="preserve">	a1deced7-6fa9-4266-bc86-da75b3653b06</t>
  </si>
  <si>
    <t>Light concrete</t>
  </si>
  <si>
    <t>Lightweight concrete block from 100% natural pumice</t>
  </si>
  <si>
    <t>2e31cc41-fa94-442a-b19b-48d82c3555d8</t>
  </si>
  <si>
    <t>Pumice stone (SFK-4)</t>
  </si>
  <si>
    <t>1c681356-2541-43e7-b1d4-9c4d0a936a08</t>
  </si>
  <si>
    <t>Expanded clay hollow concrete block partition wall; expanded shale, hollow block, density class 1,6, 1600 kg/m3</t>
  </si>
  <si>
    <t>23fc083c-960d-4d31-a509-f383e01c3179</t>
  </si>
  <si>
    <t>Expanded clay concrete block outer wall; expanded clay, solid block, density 0,5, 500 kg/m3</t>
  </si>
  <si>
    <t>5c400482-2153-45e8-a4d2-e10a9338909b</t>
  </si>
  <si>
    <t>Expanded clay concrete block inner wall; Plan stone interior wall, density class 0,7, 700 kg/m3</t>
  </si>
  <si>
    <t>2ad3b93b-b559-404e-8b63-99c69d472896</t>
  </si>
  <si>
    <t>Granulated slag brick</t>
  </si>
  <si>
    <t xml:space="preserve">	2cdcffc6-84e9-4238-b8af-beebabea9a2d</t>
  </si>
  <si>
    <t>Precast concrete elements and goods</t>
  </si>
  <si>
    <t>Concrete masonry brick</t>
  </si>
  <si>
    <t>45e6dcac-70b9-4982-bf04-4ff566facba1</t>
  </si>
  <si>
    <t>Precast concrete slab, ceiling, thickness 20cm; 504 kg/m2</t>
  </si>
  <si>
    <t>97b971c7-8d43-4650-bfd6-75fdcf9a2101</t>
  </si>
  <si>
    <t>Precast concrete wall, thickness 12cm; 291,3 kg/m2</t>
  </si>
  <si>
    <t>03ed395a-bc7b-4287-9013-8ba3ac1a2900</t>
  </si>
  <si>
    <t>Natural cut stone</t>
  </si>
  <si>
    <t xml:space="preserve">	
Marble slab</t>
  </si>
  <si>
    <t>e2e9d29e-c775-4eef-af57-de8194db7524</t>
  </si>
  <si>
    <t>Natural stone slab, rigid, facade (30 mm); 78 kg/m2</t>
  </si>
  <si>
    <t>c241605d-34f1-44db-bf07-78610e849edb</t>
  </si>
  <si>
    <t>Natural stone slab, rigid, indoor usage (20 mm); 52 kg/m2</t>
  </si>
  <si>
    <t>b3e4257b-bdb7-4da2-9c33-990243dd4aa8</t>
  </si>
  <si>
    <t>Natural stone slab, flexible, facade (40 mm); 104 kg/m2</t>
  </si>
  <si>
    <t>37a63555-2ac1-45e8-b802-6d947f30b99a</t>
  </si>
  <si>
    <t>Natural stone slab, flexible, indoor usage, thickness 20 mm; 52 kg/m2</t>
  </si>
  <si>
    <t>592ffe6e-4c21-4a24-ba67-273acbfca373</t>
  </si>
  <si>
    <t>Ceramic roof tile</t>
  </si>
  <si>
    <t>Roof tile; 1800 kg/m3</t>
  </si>
  <si>
    <t>ee6d9736-2ddd-4d2d-acc1-3ea1031c1f9e</t>
  </si>
  <si>
    <t>Concrete roof tiles</t>
  </si>
  <si>
    <t>Roof tiles (concrete)</t>
  </si>
  <si>
    <t>161e1abd-fe38-45f6-8658-8bf4fa88eb7c</t>
  </si>
  <si>
    <t>Fibre Cement</t>
  </si>
  <si>
    <t>Fibre cement facade panel</t>
  </si>
  <si>
    <t xml:space="preserve">	46c055f0-84a2-423b-ae82-5264886e51ad</t>
  </si>
  <si>
    <t>Gypsum plasterboard</t>
  </si>
  <si>
    <t>Gypsum plaster board (fire protection; 12.5 mm); 10 kg/m2</t>
  </si>
  <si>
    <t>deeb0bda-20fa-412a-b945-1a589638db21</t>
  </si>
  <si>
    <t>Gypsum plaster board (impregnated; 12.5 mm); 10 kg/m2</t>
  </si>
  <si>
    <t>1b0a3488-9b02-4c98-b421-8c746d350f97</t>
  </si>
  <si>
    <t>Gypsum fibre board (10 mm); 10 kg/m2</t>
  </si>
  <si>
    <t>4c009f04-44e1-42e3-a32e-4929294debab</t>
  </si>
  <si>
    <t>Air-dried brick (adobe)</t>
  </si>
  <si>
    <t>Adobe; 1200 kg/m3</t>
  </si>
  <si>
    <t>4b42a944-ff7e-4540-a46b-c21074255143</t>
  </si>
  <si>
    <t>Rammed earth wall; 2000 kg/m3</t>
  </si>
  <si>
    <t>e3d7a045-ee91-43ac-8fb4-a5216c65ba0b</t>
  </si>
  <si>
    <t>Mortar and Concrete</t>
  </si>
  <si>
    <t>Ready mixed concrete</t>
  </si>
  <si>
    <t>Ready-mix concrete C20/25</t>
  </si>
  <si>
    <t xml:space="preserve">	a71e60a5-b64b-4715-ae8a-c8c8819149d2</t>
  </si>
  <si>
    <t>Ready-mix concrete C25/30</t>
  </si>
  <si>
    <t>d6f982e3-beda-49f0-a298-694fcbf3ba38</t>
  </si>
  <si>
    <t>Ready-mix concrete C30/37</t>
  </si>
  <si>
    <t xml:space="preserve">	0a1fa7f9-ad49-4942-a173-cb8c4ad99c9b</t>
  </si>
  <si>
    <t>Ready-mix concrete C50/60</t>
  </si>
  <si>
    <t>96171066-34d9-4b33-b1e6-3af1ea11db61</t>
  </si>
  <si>
    <t>Mortar (masonry)</t>
  </si>
  <si>
    <t xml:space="preserve">	
Cement mortar</t>
  </si>
  <si>
    <t>86d919ee-8f30-4ca4-9b7e-717aecba6ac0</t>
  </si>
  <si>
    <t>Screed dry mortar</t>
  </si>
  <si>
    <t>Cement screed</t>
  </si>
  <si>
    <t>kg</t>
  </si>
  <si>
    <t xml:space="preserve">	ddc96ae4-086c-4033-9e45-c5589f1661ba</t>
  </si>
  <si>
    <t>Renders and plasters</t>
  </si>
  <si>
    <t xml:space="preserve">	
Lime plaster</t>
  </si>
  <si>
    <t xml:space="preserve">	9a670d29-efb9-4fde-95ab-182a0b1e7280</t>
  </si>
  <si>
    <t>Lime gypsum interior plaster; lime-gypsum</t>
  </si>
  <si>
    <t>5541250a-f8d8-4c67-9f24-47ab54686c30</t>
  </si>
  <si>
    <t>Synthtic resin plaster; Synthetic resin</t>
  </si>
  <si>
    <t>422b2446-8a3f-457d-b47b-4728b2869d86</t>
  </si>
  <si>
    <t>Clay plaster</t>
  </si>
  <si>
    <t>ac779922-219f-4730-9aef-a7da84d334c1</t>
  </si>
  <si>
    <t>Insulation materials</t>
  </si>
  <si>
    <t>Mineral wool</t>
  </si>
  <si>
    <t>Mineral wool (floor insulation)</t>
  </si>
  <si>
    <t>50d421e2-3a7b-4659-92a4-f20d6a52fcf0</t>
  </si>
  <si>
    <t>Mineral wool (facade insulation); 46 kg/m3</t>
  </si>
  <si>
    <t xml:space="preserve">	60311c13-53d4-4cee-8777-1f9c9889b770</t>
  </si>
  <si>
    <t>Mineral wool (flat roof insulation); 145 kg/m3</t>
  </si>
  <si>
    <t>121c71e8-0f4c-4529-b72e-331198d15f0f</t>
  </si>
  <si>
    <t>Expanded polystyrene</t>
  </si>
  <si>
    <t>EPS white</t>
  </si>
  <si>
    <t>EPS rigid foam insulation</t>
  </si>
  <si>
    <t>c4ddfdbc-ee2b-4dd5-a754-b317cf06470a</t>
  </si>
  <si>
    <t>Extruded polystyrene</t>
  </si>
  <si>
    <t>XPS white</t>
  </si>
  <si>
    <t>Extruded polystyrene (XPS)</t>
  </si>
  <si>
    <t>ac8de42f-3cff-4ca8-b8cc-c0db6daf089b</t>
  </si>
  <si>
    <t>Wood wool panels</t>
  </si>
  <si>
    <t>Lightweight wood fibre panel; 360 kg/m3</t>
  </si>
  <si>
    <t xml:space="preserve">	414d0e5b-7628-466c-89d3-56e107b60aa6</t>
  </si>
  <si>
    <t>Calcium silicate</t>
  </si>
  <si>
    <t>Calcium- / Aerated concrete</t>
  </si>
  <si>
    <t>Aerated concrete mineral insulation board</t>
  </si>
  <si>
    <t>6b363ddc-f127-4d44-9f4b-54daada07465</t>
  </si>
  <si>
    <t>Wood</t>
  </si>
  <si>
    <t>Solid wood</t>
  </si>
  <si>
    <t>Solid structural timber (KVH)</t>
  </si>
  <si>
    <t>Solid construction timber (generic, 15% moisture / 13% H2O content); 529 kg/m3 at 15% moisture</t>
  </si>
  <si>
    <t>aeab0f39-5eab-422f-8c4b-822bb98aa63c</t>
  </si>
  <si>
    <t>Duo and trio laminated beams</t>
  </si>
  <si>
    <t>Laminated wood beam softwood (generic); 515 kg/m3 density at 12% moisture</t>
  </si>
  <si>
    <t>86138863-3c1c-4345-9ae9-03ba28a5f9a7</t>
  </si>
  <si>
    <t>Glue-laminated timber</t>
  </si>
  <si>
    <t>Laminated timber planks coniferous wood (generic); Glued laminated timber</t>
  </si>
  <si>
    <t>24b673e5-b737-4fe9-ab51-ca68391ccdd3</t>
  </si>
  <si>
    <t>Derived timber products</t>
  </si>
  <si>
    <t>Plywood</t>
  </si>
  <si>
    <t>Plywood board (generic); 5% moisture</t>
  </si>
  <si>
    <t>0f2f2410-d9e2-4e0f-837a-987cb3186d81</t>
  </si>
  <si>
    <t>Particle boards</t>
  </si>
  <si>
    <t>Chipboard (generic); 700 kg/m3</t>
  </si>
  <si>
    <t>14286caa-6bc1-4aa0-93d6-22d0f5b21195</t>
  </si>
  <si>
    <t>Wooden floor</t>
  </si>
  <si>
    <t>Laminate flooring</t>
  </si>
  <si>
    <t>Laminate (DPL)</t>
  </si>
  <si>
    <t>f6861618-5a92-4c3a-94ba-9f7329b29662</t>
  </si>
  <si>
    <t>Metals</t>
  </si>
  <si>
    <t>Steel and iron</t>
  </si>
  <si>
    <t>Steel reinforcement mesh</t>
  </si>
  <si>
    <t>Reinforcement steel wire; wire</t>
  </si>
  <si>
    <t>065c4bb7-df48-458d-87f2-37e237a6ab90</t>
  </si>
  <si>
    <t>Steel Welded Fabrics &amp; Lattice Girders</t>
  </si>
  <si>
    <t>t</t>
  </si>
  <si>
    <t xml:space="preserve">	20c29cbd-f9a2-4518-a1ce-c681246c29c8</t>
  </si>
  <si>
    <t>Structural steel profile</t>
  </si>
  <si>
    <t>Structural Steel: Sections and merchant bars</t>
  </si>
  <si>
    <t>755a481d-a74b-4ba0-b417-cc26767b2d50</t>
  </si>
  <si>
    <t>Steel section; Steel sections</t>
  </si>
  <si>
    <t>717f4a1c-0df0-49e6-8169-528b50b01e56</t>
  </si>
  <si>
    <t>Steel sheets</t>
  </si>
  <si>
    <t>Hot dip galvanized steel sheet; area weight 5.72 kg/m2</t>
  </si>
  <si>
    <t>b8a652dc-48f0-4bc5-b60c-caec8d576fa4</t>
  </si>
  <si>
    <t>Cast or forged steel and iron items</t>
  </si>
  <si>
    <t>Grey cast iron part; cast iron</t>
  </si>
  <si>
    <t>849af6c4-050a-4119-9bb4-9dd64a7a86fc</t>
  </si>
  <si>
    <t>Coverings</t>
  </si>
  <si>
    <t>Primer</t>
  </si>
  <si>
    <t>Primer for paints and plasters</t>
  </si>
  <si>
    <t>Application primer emulsion, dispersion paint; 1 kg</t>
  </si>
  <si>
    <t>b1964649-fd26-49d3-9aca-464fe807f2b2</t>
  </si>
  <si>
    <t>Application primer emulsion, silicate dispersion paint; 1 kg</t>
  </si>
  <si>
    <t>23b67663-f4b0-445e-bbba-b741a59d57e6</t>
  </si>
  <si>
    <t>Kunststoffe</t>
  </si>
  <si>
    <t>Dachbahnen</t>
  </si>
  <si>
    <t>Bitumen-Dachbahnen</t>
  </si>
  <si>
    <t>Bituminous sheeting</t>
  </si>
  <si>
    <t>CONCRETE generic data for modelling with BoQ</t>
  </si>
  <si>
    <t>STEEL generic data for modelling with BoQ</t>
  </si>
  <si>
    <t>PLASTER generic data for modelling with BoQ</t>
  </si>
  <si>
    <t>CEMENT SCREED generic data for modelling with BoQ</t>
  </si>
  <si>
    <t>FLOOR FINISH generic data for modelling with BoQ</t>
  </si>
  <si>
    <t>AAC BLOCK generic data for modelling with BoQ</t>
  </si>
  <si>
    <t>RED BRICK generic data for modelling with BoQ</t>
  </si>
  <si>
    <t>CONCRETE BRICK generic data for modelling with BoQ</t>
  </si>
  <si>
    <t>CONCRETE ROOF TILES generic data for modelling with BoQ</t>
  </si>
  <si>
    <t>Series Name</t>
  </si>
  <si>
    <t>Series Code</t>
  </si>
  <si>
    <t>Country Name</t>
  </si>
  <si>
    <t>Country Code</t>
  </si>
  <si>
    <t>1990 [YR1990]</t>
  </si>
  <si>
    <t>2000 [YR2000]</t>
  </si>
  <si>
    <t>2014 [YR2014]</t>
  </si>
  <si>
    <t>2015 [YR2015]</t>
  </si>
  <si>
    <t>2016 [YR2016]</t>
  </si>
  <si>
    <t>2017 [YR2017]</t>
  </si>
  <si>
    <t>2018 [YR2018]</t>
  </si>
  <si>
    <t>2019 [YR2019]</t>
  </si>
  <si>
    <t>2020 [YR2020]</t>
  </si>
  <si>
    <t>2021 [YR2021]</t>
  </si>
  <si>
    <t>2022 [YR2022]</t>
  </si>
  <si>
    <t>2023 [YR2023]</t>
  </si>
  <si>
    <t>GDP per unit of energy use (constant 2021 PPP $ per kg of oil equivalent)</t>
  </si>
  <si>
    <t>EG.GDP.PUSE.KO.PP.KD</t>
  </si>
  <si>
    <t>Afghanistan</t>
  </si>
  <si>
    <t>AFG</t>
  </si>
  <si>
    <t>..</t>
  </si>
  <si>
    <t>Albania</t>
  </si>
  <si>
    <t>ALB</t>
  </si>
  <si>
    <t>Algeria</t>
  </si>
  <si>
    <t>DZA</t>
  </si>
  <si>
    <t>American Samoa</t>
  </si>
  <si>
    <t>ASM</t>
  </si>
  <si>
    <t>Andorra</t>
  </si>
  <si>
    <t>AND</t>
  </si>
  <si>
    <t>Angola</t>
  </si>
  <si>
    <t>AGO</t>
  </si>
  <si>
    <t>Antigua and Barbuda</t>
  </si>
  <si>
    <t>ATG</t>
  </si>
  <si>
    <t>Argentina</t>
  </si>
  <si>
    <t>ARG</t>
  </si>
  <si>
    <t>Armenia</t>
  </si>
  <si>
    <t>ARM</t>
  </si>
  <si>
    <t>Aruba</t>
  </si>
  <si>
    <t>ABW</t>
  </si>
  <si>
    <t>Australia</t>
  </si>
  <si>
    <t>AUS</t>
  </si>
  <si>
    <t>Austria</t>
  </si>
  <si>
    <t>AUT</t>
  </si>
  <si>
    <t>Azerbaijan</t>
  </si>
  <si>
    <t>AZE</t>
  </si>
  <si>
    <t>Bahamas, The</t>
  </si>
  <si>
    <t>BHS</t>
  </si>
  <si>
    <t>Bahrain</t>
  </si>
  <si>
    <t>BHR</t>
  </si>
  <si>
    <t>Bangladesh</t>
  </si>
  <si>
    <t>BGD</t>
  </si>
  <si>
    <t>Barbados</t>
  </si>
  <si>
    <t>BRB</t>
  </si>
  <si>
    <t>Belarus</t>
  </si>
  <si>
    <t>BLR</t>
  </si>
  <si>
    <t>Belgium</t>
  </si>
  <si>
    <t>BEL</t>
  </si>
  <si>
    <t>Belize</t>
  </si>
  <si>
    <t>BLZ</t>
  </si>
  <si>
    <t>Benin</t>
  </si>
  <si>
    <t>BEN</t>
  </si>
  <si>
    <t>Bermuda</t>
  </si>
  <si>
    <t>BMU</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</si>
  <si>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</si>
  <si>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</si>
  <si>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</si>
  <si>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</si>
  <si>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</si>
  <si>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</si>
  <si>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</si>
  <si>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</si>
  <si>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</si>
  <si>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</si>
  <si>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</si>
  <si>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</si>
  <si>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</si>
  <si>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</si>
  <si>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</si>
  <si>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</si>
  <si>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</si>
  <si>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</si>
  <si>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</si>
  <si>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</si>
  <si>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</si>
  <si>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</si>
  <si>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</si>
  <si>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</si>
  <si>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</si>
  <si>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</si>
  <si>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</si>
  <si>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</si>
  <si>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</si>
  <si>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</si>
  <si>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</si>
  <si>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</si>
  <si>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</si>
  <si>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</si>
  <si>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</si>
  <si>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</si>
  <si>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</si>
  <si>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</si>
  <si>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</si>
  <si>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</si>
  <si>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</si>
  <si>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</si>
  <si>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</si>
  <si>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</si>
  <si>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</si>
  <si>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</si>
  <si>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</si>
  <si>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</si>
  <si>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</si>
  <si>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Cote d'Ivoire</t>
  </si>
  <si>
    <t>CIV</t>
  </si>
  <si>
    <t>Croatia</t>
  </si>
  <si>
    <t>HRV</t>
  </si>
  <si>
    <t>Cuba</t>
  </si>
  <si>
    <t>CUB</t>
  </si>
  <si>
    <t>Curacao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</si>
  <si>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</si>
  <si>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</si>
  <si>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</si>
  <si>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</si>
  <si>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</si>
  <si>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</si>
  <si>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</si>
  <si>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</si>
  <si>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</si>
  <si>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</si>
  <si>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</si>
  <si>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</si>
  <si>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</si>
  <si>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</si>
  <si>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</si>
  <si>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</si>
  <si>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</si>
  <si>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</si>
  <si>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</si>
  <si>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</si>
  <si>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</si>
  <si>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</si>
  <si>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</si>
  <si>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</si>
  <si>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</si>
  <si>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</si>
  <si>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</si>
  <si>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</si>
  <si>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</si>
  <si>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</si>
  <si>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</si>
  <si>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</si>
  <si>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</si>
  <si>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</si>
  <si>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</si>
  <si>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</si>
  <si>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</si>
  <si>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</si>
  <si>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</si>
  <si>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</si>
  <si>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</si>
  <si>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</si>
  <si>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</si>
  <si>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</si>
  <si>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</si>
  <si>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</si>
  <si>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</si>
  <si>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</si>
  <si>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</si>
  <si>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</si>
  <si>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</si>
  <si>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</si>
  <si>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</si>
  <si>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</si>
  <si>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</si>
  <si>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</si>
  <si>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</si>
  <si>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</si>
  <si>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</si>
  <si>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</si>
  <si>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</si>
  <si>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</si>
  <si>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</si>
  <si>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</si>
  <si>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</si>
  <si>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</si>
  <si>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</si>
  <si>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</si>
  <si>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</si>
  <si>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</si>
  <si>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</si>
  <si>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</si>
  <si>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</si>
  <si>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</si>
  <si>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</si>
  <si>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</si>
  <si>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</si>
  <si>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</si>
  <si>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</si>
  <si>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</si>
  <si>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</si>
  <si>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</si>
  <si>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</si>
  <si>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</si>
  <si>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</si>
  <si>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</si>
  <si>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</si>
  <si>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</si>
  <si>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</si>
  <si>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</si>
  <si>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</si>
  <si>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</si>
  <si>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</si>
  <si>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</si>
  <si>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</si>
  <si>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</si>
  <si>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</si>
  <si>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</si>
  <si>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</si>
  <si>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</si>
  <si>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</si>
  <si>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</si>
  <si>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</si>
  <si>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</si>
  <si>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</si>
  <si>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</si>
  <si>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</si>
  <si>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</si>
  <si>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</si>
  <si>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</si>
  <si>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</si>
  <si>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</si>
  <si>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</si>
  <si>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</si>
  <si>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</si>
  <si>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</si>
  <si>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</si>
  <si>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</si>
  <si>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</si>
  <si>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</si>
  <si>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</si>
  <si>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</si>
  <si>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</si>
  <si>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</si>
  <si>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</si>
  <si>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</si>
  <si>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</si>
  <si>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</si>
  <si>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</si>
  <si>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</si>
  <si>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</si>
  <si>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</si>
  <si>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</si>
  <si>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</si>
  <si>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</si>
  <si>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</si>
  <si>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</si>
  <si>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</si>
  <si>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</si>
  <si>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</si>
  <si>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</si>
  <si>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</si>
  <si>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</si>
  <si>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</si>
  <si>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</si>
  <si>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</si>
  <si>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</si>
  <si>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</si>
  <si>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</si>
  <si>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</si>
  <si>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</si>
  <si>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</si>
  <si>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</si>
  <si>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</si>
  <si>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</si>
  <si>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</si>
  <si>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</si>
  <si>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</si>
  <si>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</si>
  <si>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</si>
  <si>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</si>
  <si>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</si>
  <si>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</si>
  <si>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</si>
  <si>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</si>
  <si>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</si>
  <si>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</si>
  <si>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</si>
  <si>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</si>
  <si>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</si>
  <si>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</si>
  <si>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</si>
  <si>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</si>
  <si>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</si>
  <si>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</si>
  <si>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</si>
  <si>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</si>
  <si>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</si>
  <si>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</si>
  <si>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</si>
  <si>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</si>
  <si>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</si>
  <si>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</si>
  <si>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</si>
  <si>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</si>
  <si>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</si>
  <si>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</si>
  <si>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</si>
  <si>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</si>
  <si>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</si>
  <si>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</si>
  <si>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</si>
  <si>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</si>
  <si>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</si>
  <si>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</si>
  <si>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</si>
  <si>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</si>
  <si>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</si>
  <si>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</si>
  <si>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</si>
  <si>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</si>
  <si>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</si>
  <si>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</si>
  <si>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</si>
  <si>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</si>
  <si>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</si>
  <si>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</si>
  <si>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</si>
  <si>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</si>
  <si>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</si>
  <si>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</si>
  <si>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</si>
  <si>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t>
  </si>
  <si>
    <t>PRI</t>
  </si>
  <si>
    <t>Qatar</t>
  </si>
  <si>
    <t>QAT</t>
  </si>
  <si>
    <t>Romania</t>
  </si>
  <si>
    <t>ROU</t>
  </si>
  <si>
    <t>Russian Federation</t>
  </si>
  <si>
    <t>RUS</t>
  </si>
  <si>
    <t>Rwanda</t>
  </si>
  <si>
    <t>RWA</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</si>
  <si>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</si>
  <si>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</si>
  <si>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</si>
  <si>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</si>
  <si>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</si>
  <si>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</si>
  <si>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</si>
  <si>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</si>
  <si>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</si>
  <si>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</si>
  <si>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</si>
  <si>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</si>
  <si>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</si>
  <si>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</si>
  <si>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</si>
  <si>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</si>
  <si>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</si>
  <si>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</si>
  <si>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</si>
  <si>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</si>
  <si>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</si>
  <si>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</si>
  <si>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</si>
  <si>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</si>
  <si>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</si>
  <si>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</si>
  <si>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Somalia</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</si>
  <si>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</si>
  <si>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</si>
  <si>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</si>
  <si>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</si>
  <si>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</si>
  <si>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</si>
  <si>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</si>
  <si>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</si>
  <si>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</si>
  <si>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</si>
  <si>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</si>
  <si>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</si>
  <si>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</si>
  <si>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</si>
  <si>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</si>
  <si>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</si>
  <si>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</si>
  <si>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</si>
  <si>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</si>
  <si>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</si>
  <si>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</si>
  <si>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</si>
  <si>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</si>
  <si>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</si>
  <si>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</si>
  <si>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</si>
  <si>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</si>
  <si>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Tajikistan</t>
  </si>
  <si>
    <t>TJK</t>
  </si>
  <si>
    <t>Tanzania</t>
  </si>
  <si>
    <t>TZA</t>
  </si>
  <si>
    <t>THA</t>
  </si>
  <si>
    <t>Timor-Leste</t>
  </si>
  <si>
    <t>TLS</t>
  </si>
  <si>
    <t>Togo</t>
  </si>
  <si>
    <t>TGO</t>
  </si>
  <si>
    <t>Tonga</t>
  </si>
  <si>
    <t>TON</t>
  </si>
  <si>
    <t>Trinidad and Tobago</t>
  </si>
  <si>
    <t>TTO</t>
  </si>
  <si>
    <t>Tunisia</t>
  </si>
  <si>
    <t>TUN</t>
  </si>
  <si>
    <t>Turkiye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</si>
  <si>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</si>
  <si>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</si>
  <si>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</si>
  <si>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</si>
  <si>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</si>
  <si>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</si>
  <si>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</si>
  <si>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</si>
  <si>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</si>
  <si>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</si>
  <si>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</si>
  <si>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</si>
  <si>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</si>
  <si>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</si>
  <si>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</si>
  <si>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</si>
  <si>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</si>
  <si>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</si>
  <si>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</si>
  <si>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</si>
  <si>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</si>
  <si>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</si>
  <si>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</si>
  <si>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</si>
  <si>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</si>
  <si>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 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</si>
  <si>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</si>
  <si>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</si>
  <si>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</si>
  <si>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</si>
  <si>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</si>
  <si>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</si>
  <si>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</si>
  <si>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</si>
  <si>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</si>
  <si>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</si>
  <si>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</si>
  <si>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</si>
  <si>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</si>
  <si>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</si>
  <si>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</si>
  <si>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</si>
  <si>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</si>
  <si>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</si>
  <si>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</si>
  <si>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</si>
  <si>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</si>
  <si>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</si>
  <si>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</si>
  <si>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Asia &amp; Pacific</t>
  </si>
  <si>
    <t>EAS</t>
  </si>
  <si>
    <t>East Asia &amp; Pacific (excluding high income)</t>
  </si>
  <si>
    <t>EAP</t>
  </si>
  <si>
    <t>East Asia &amp; Pacific (IDA &amp; IBRD countries)</t>
  </si>
  <si>
    <t>TEA</t>
  </si>
  <si>
    <t>Euro area</t>
  </si>
  <si>
    <t>EMU</t>
  </si>
  <si>
    <t>Europe &amp; Central Asia</t>
  </si>
  <si>
    <t>ECS</t>
  </si>
  <si>
    <t>Europe &amp; Central Asia (excluding high income)</t>
  </si>
  <si>
    <t>ECA</t>
  </si>
  <si>
    <t>Europe &amp; Central Asia (IDA &amp; IBRD countries)</t>
  </si>
  <si>
    <t>TEC</t>
  </si>
  <si>
    <t>European Union</t>
  </si>
  <si>
    <t>EUU</t>
  </si>
  <si>
    <t>Fragile and conflict affected situations</t>
  </si>
  <si>
    <t>FCS</t>
  </si>
  <si>
    <t>Heavily indebted poor countries (HIPC)</t>
  </si>
  <si>
    <t>HPC</t>
  </si>
  <si>
    <t>High income</t>
  </si>
  <si>
    <t>HIC</t>
  </si>
  <si>
    <t>IBRD only</t>
  </si>
  <si>
    <t>IBD</t>
  </si>
  <si>
    <t>IDA &amp; IBRD total</t>
  </si>
  <si>
    <t>IBT</t>
  </si>
  <si>
    <t>IDA blend</t>
  </si>
  <si>
    <t>IDB</t>
  </si>
  <si>
    <t>IDA only</t>
  </si>
  <si>
    <t>IDX</t>
  </si>
  <si>
    <t>IDA total</t>
  </si>
  <si>
    <t>IDA</t>
  </si>
  <si>
    <t>Late-demographic dividend</t>
  </si>
  <si>
    <t>LTE</t>
  </si>
  <si>
    <t>Latin America &amp; Caribbean</t>
  </si>
  <si>
    <t>LCN</t>
  </si>
  <si>
    <t>Latin America &amp; Caribbean (excluding high income)</t>
  </si>
  <si>
    <t>LAC</t>
  </si>
  <si>
    <t>Latin America &amp; the Caribbean (IDA &amp; IBRD countries)</t>
  </si>
  <si>
    <t>TLA</t>
  </si>
  <si>
    <t>Least developed countries: UN classification</t>
  </si>
  <si>
    <t>LDC</t>
  </si>
  <si>
    <t>Low &amp; middle income</t>
  </si>
  <si>
    <t>LMY</t>
  </si>
  <si>
    <t>Low income</t>
  </si>
  <si>
    <t>LIC</t>
  </si>
  <si>
    <t>Lower middle income</t>
  </si>
  <si>
    <t>LMC</t>
  </si>
  <si>
    <t>Middle East &amp; North Africa</t>
  </si>
  <si>
    <t>MEA</t>
  </si>
  <si>
    <t>Middle East &amp; North Africa (excluding high income)</t>
  </si>
  <si>
    <t>MNA</t>
  </si>
  <si>
    <t>Middle East &amp; North Africa (IDA &amp; IBRD countries)</t>
  </si>
  <si>
    <t>TMN</t>
  </si>
  <si>
    <t>Middle income</t>
  </si>
  <si>
    <t>MIC</t>
  </si>
  <si>
    <t>North America</t>
  </si>
  <si>
    <t>NAC</t>
  </si>
  <si>
    <t>Not classified</t>
  </si>
  <si>
    <t>INX</t>
  </si>
  <si>
    <t>OECD members</t>
  </si>
  <si>
    <t>OED</t>
  </si>
  <si>
    <t>Other small states</t>
  </si>
  <si>
    <t>OSS</t>
  </si>
  <si>
    <t>Pacific island small states</t>
  </si>
  <si>
    <t>PSS</t>
  </si>
  <si>
    <t>Post-demographic dividend</t>
  </si>
  <si>
    <t>PST</t>
  </si>
  <si>
    <t>Pre-demographic dividend</t>
  </si>
  <si>
    <t>PRE</t>
  </si>
  <si>
    <t>Small states</t>
  </si>
  <si>
    <t>SST</t>
  </si>
  <si>
    <t>South Asia</t>
  </si>
  <si>
    <t>SAS</t>
  </si>
  <si>
    <t>South Asia (IDA &amp; IBRD)</t>
  </si>
  <si>
    <t>TSA</t>
  </si>
  <si>
    <t>Sub-Saharan Africa</t>
  </si>
  <si>
    <t>SSF</t>
  </si>
  <si>
    <t>Sub-Saharan Africa (excluding high income)</t>
  </si>
  <si>
    <t>SSA</t>
  </si>
  <si>
    <t>Sub-Saharan Africa (IDA &amp; IBRD countries)</t>
  </si>
  <si>
    <t>TSS</t>
  </si>
  <si>
    <t>Upper middle income</t>
  </si>
  <si>
    <t>UMC</t>
  </si>
  <si>
    <t>World</t>
  </si>
  <si>
    <t>WLD</t>
  </si>
  <si>
    <t>Data from database: World Development Indicators</t>
  </si>
  <si>
    <t>Last Updated: 01/28/2025</t>
  </si>
  <si>
    <t>Code</t>
  </si>
  <si>
    <t>License Type</t>
  </si>
  <si>
    <t>Indicator Name</t>
  </si>
  <si>
    <t>Long definition</t>
  </si>
  <si>
    <t>Topic</t>
  </si>
  <si>
    <t>Periodicity</t>
  </si>
  <si>
    <t>Base Period</t>
  </si>
  <si>
    <t>Aggregation method</t>
  </si>
  <si>
    <t>Statistical concept and methodology</t>
  </si>
  <si>
    <t>Development relevance</t>
  </si>
  <si>
    <t>Limitations and exceptions</t>
  </si>
  <si>
    <t>General comments</t>
  </si>
  <si>
    <t>License URL</t>
  </si>
  <si>
    <t>Use and distribution of these data are subject to IEA terms and conditions.</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</si>
  <si>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</si>
  <si>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IEA Statistics © OECD/IEA 2014 (https://www.iea.org/data-and-statistics), subject to https://www.iea.org/terms/</t>
  </si>
  <si>
    <t>Environment: Energy production &amp; use</t>
  </si>
  <si>
    <t>Annual</t>
  </si>
  <si>
    <t>Weighted average</t>
  </si>
  <si>
    <t>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</si>
  <si>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</si>
  <si>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</si>
  <si>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Restricted use: Please contact the International Energy Agency for third-party use of these data.</t>
  </si>
  <si>
    <t>https://www.iea.org/terms</t>
  </si>
  <si>
    <t>IN</t>
  </si>
  <si>
    <t>ID</t>
  </si>
  <si>
    <t>VN</t>
  </si>
  <si>
    <t>KH</t>
  </si>
  <si>
    <t>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</si>
</sst>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5">
    <font>
      <sz val="10.5"/>
      <color theme="1"/>
      <name val="Arial"/>
      <family val="2"/>
      <scheme val="minor"/>
    </font>
    <font>
      <sz val="11"/>
      <color theme="1"/>
      <name val="Arial"/>
      <family val="2"/>
      <scheme val="minor"/>
    </font>
    <font>
      <sz val="11"/>
      <color theme="1"/>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0.5"/>
      <color theme="1"/>
      <name val="Arial"/>
      <family val="2"/>
      <scheme val="minor"/>
    </font>
    <font>
      <b/>
      <sz val="16"/>
      <color theme="1"/>
      <name val="Arial"/>
      <family val="2"/>
      <scheme val="minor"/>
    </font>
    <font>
      <sz val="12"/>
      <color theme="1"/>
      <name val="Arial"/>
      <family val="2"/>
      <scheme val="minor"/>
    </font>
    <font>
      <u/>
      <sz val="10.5"/>
      <color theme="10"/>
      <name val="Arial"/>
      <family val="2"/>
      <scheme val="minor"/>
    </font>
    <font>
      <sz val="10"/>
      <color rgb="FF666666"/>
      <name val="Open Sans"/>
      <family val="2"/>
    </font>
    <font>
      <sz val="11"/>
      <color rgb="FF333333"/>
      <name val="Arial"/>
      <family val="2"/>
      <scheme val="minor"/>
    </font>
    <font>
      <b/>
      <sz val="14"/>
      <name val="Arial"/>
    </font>
    <font>
      <b/>
      <sz val="12"/>
      <name val="Arial"/>
    </font>
    <font>
      <b/>
      <sz val="10.5"/>
      <name val="Arial"/>
    </font>
  </fonts>
  <fills count="28">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5A5A5"/>
      </patternFill>
    </fill>
    <fill>
      <patternFill patternType="solid">
        <fgColor theme="5"/>
        <bgColor indexed="64"/>
      </patternFill>
    </fill>
    <fill>
      <patternFill patternType="solid">
        <fgColor theme="0" tint="-0.499984740745262"/>
        <bgColor indexed="64"/>
      </patternFill>
    </fill>
    <fill>
      <patternFill patternType="solid">
        <fgColor theme="7"/>
        <bgColor indexed="64"/>
      </patternFill>
    </fill>
    <fill>
      <patternFill patternType="solid">
        <fgColor theme="2" tint="-9.9978637043366805E-2"/>
        <bgColor indexed="64"/>
      </patternFill>
    </fill>
    <fill>
      <patternFill patternType="solid">
        <fgColor theme="8"/>
        <bgColor indexed="64"/>
      </patternFill>
    </fill>
    <fill>
      <patternFill patternType="solid">
        <fgColor rgb="FFFFFF00"/>
        <bgColor indexed="64"/>
      </patternFill>
    </fill>
    <fill>
      <patternFill patternType="solid">
        <fgColor theme="8" tint="-0.249977111117893"/>
        <bgColor indexed="64"/>
      </patternFill>
    </fill>
  </fills>
  <borders count="4">
    <border>
      <left/>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style="thin">
        <color auto="1"/>
      </bottom>
      <diagonal/>
    </border>
  </borders>
  <cellStyleXfs count="25">
    <xf numFmtId="0" fontId="0" fillId="0" borderId="0"/>
    <xf numFmtId="0" fontId="2" fillId="2" borderId="0"/>
    <xf numFmtId="0" fontId="2" fillId="3" borderId="0"/>
    <xf numFmtId="0" fontId="2" fillId="4" borderId="0"/>
    <xf numFmtId="0" fontId="2" fillId="5" borderId="0"/>
    <xf numFmtId="0" fontId="2" fillId="6" borderId="0"/>
    <xf numFmtId="0" fontId="2" fillId="7" borderId="0"/>
    <xf numFmtId="0" fontId="2" fillId="8" borderId="0"/>
    <xf numFmtId="0" fontId="2" fillId="9" borderId="0"/>
    <xf numFmtId="0" fontId="2" fillId="10" borderId="0"/>
    <xf numFmtId="0" fontId="2" fillId="11" borderId="0"/>
    <xf numFmtId="0" fontId="2" fillId="12" borderId="0"/>
    <xf numFmtId="0" fontId="2" fillId="13" borderId="0"/>
    <xf numFmtId="0" fontId="2" fillId="14" borderId="0"/>
    <xf numFmtId="0" fontId="2" fillId="15" borderId="0"/>
    <xf numFmtId="0" fontId="2" fillId="16" borderId="0"/>
    <xf numFmtId="0" fontId="2" fillId="17" borderId="0"/>
    <xf numFmtId="0" fontId="2" fillId="18" borderId="0"/>
    <xf numFmtId="0" fontId="2" fillId="19" borderId="0"/>
    <xf numFmtId="0" fontId="3" fillId="0" borderId="1"/>
    <xf numFmtId="0" fontId="4" fillId="20" borderId="2"/>
    <xf numFmtId="0" fontId="5" fillId="0" borderId="0"/>
    <xf numFmtId="9" fontId="6" fillId="0" borderId="0"/>
    <xf numFmtId="0" fontId="9" fillId="0" borderId="0"/>
    <xf numFmtId="0" fontId="2" fillId="0" borderId="0"/>
  </cellStyleXfs>
  <cellXfs count="34">
    <xf numFmtId="0" fontId="0" fillId="0" borderId="0" xfId="0"/>
    <xf numFmtId="0" fontId="4" fillId="21" borderId="3" xfId="0" applyFont="1" applyFill="1" applyBorder="1" applyAlignment="1">
      <alignment horizontal="center" vertical="top"/>
    </xf>
    <xf numFmtId="0" fontId="4" fillId="22" borderId="3" xfId="0" applyFont="1" applyFill="1" applyBorder="1" applyAlignment="1">
      <alignment horizontal="center" vertical="top"/>
    </xf>
    <xf numFmtId="0" fontId="4" fillId="23" borderId="3" xfId="0" applyFont="1" applyFill="1" applyBorder="1" applyAlignment="1">
      <alignment horizontal="center" vertical="top"/>
    </xf>
    <xf numFmtId="0" fontId="7" fillId="0" borderId="0" xfId="0" applyFont="1"/>
    <xf numFmtId="0" fontId="8" fillId="0" borderId="0" xfId="0" applyFont="1"/>
    <xf numFmtId="0" fontId="9" fillId="0" borderId="0" xfId="23"/>
    <xf numFmtId="4" fontId="8" fillId="0" borderId="0" xfId="0" applyNumberFormat="1" applyFont="1"/>
    <xf numFmtId="0" fontId="10" fillId="0" borderId="0" xfId="0" applyFont="1"/>
    <xf numFmtId="9" fontId="8" fillId="24" borderId="0" xfId="22" applyFont="1" applyFill="1"/>
    <xf numFmtId="9" fontId="8" fillId="25" borderId="0" xfId="22" applyFont="1" applyFill="1"/>
    <xf numFmtId="0" fontId="0" fillId="0" borderId="0" xfId="0" applyAlignment="1">
      <alignment horizontal="right"/>
    </xf>
    <xf numFmtId="0" fontId="11" fillId="0" borderId="0" xfId="0" applyFont="1"/>
    <xf numFmtId="2" fontId="0" fillId="0" borderId="0" xfId="0" applyNumberFormat="1"/>
    <xf numFmtId="0" fontId="0" fillId="0" borderId="0" xfId="0" applyAlignment="1">
      <alignment horizontal="center"/>
    </xf>
    <xf numFmtId="2" fontId="0" fillId="0" borderId="0" xfId="0" applyNumberFormat="1" applyAlignment="1">
      <alignment horizontal="right"/>
    </xf>
    <xf numFmtId="0" fontId="1" fillId="0" borderId="0" xfId="24" applyFont="1"/>
    <xf numFmtId="49" fontId="1" fillId="0" borderId="0" xfId="24" applyNumberFormat="1" applyFont="1"/>
    <xf numFmtId="164" fontId="1" fillId="0" borderId="0" xfId="24" applyNumberFormat="1" applyFont="1"/>
    <xf numFmtId="0" fontId="0" fillId="26" borderId="0" xfId="0" applyFill="1"/>
    <xf numFmtId="0" fontId="8" fillId="0" borderId="0" xfId="0" applyFont="1" applyAlignment="1">
      <alignment horizontal="right"/>
    </xf>
    <xf numFmtId="9" fontId="8" fillId="0" borderId="0" xfId="22" applyFont="1"/>
    <xf numFmtId="164" fontId="8" fillId="0" borderId="0" xfId="0" applyNumberFormat="1" applyFont="1"/>
    <xf numFmtId="9" fontId="8" fillId="27" borderId="0" xfId="0" applyNumberFormat="1" applyFont="1" applyFill="1"/>
    <xf numFmtId="9" fontId="8" fillId="25" borderId="0" xfId="0" applyNumberFormat="1" applyFont="1" applyFill="1"/>
    <xf numFmtId="9" fontId="8" fillId="0" borderId="0" xfId="0" applyNumberFormat="1" applyFont="1"/>
    <xf numFmtId="2" fontId="8" fillId="0" borderId="0" xfId="0" applyNumberFormat="1" applyFont="1"/>
    <xf numFmtId="0" fontId="8" fillId="26" borderId="0" xfId="0" applyFont="1" applyFill="1"/>
    <xf numFmtId="0" fontId="12" fillId="0" borderId="0" xfId="0" applyFont="1"/>
    <xf numFmtId="0" fontId="13" fillId="0" borderId="0" xfId="0" applyFont="1"/>
    <xf numFmtId="0" fontId="14" fillId="0" borderId="0" xfId="0" applyFont="1"/>
    <xf numFmtId="0" fontId="8" fillId="0" borderId="0" xfId="0" applyFont="1" applyAlignment="1">
      <alignment horizontal="left" wrapText="1"/>
    </xf>
    <xf numFmtId="0" fontId="8" fillId="0" borderId="0" xfId="0" applyFont="1" applyAlignment="1">
      <alignment horizontal="right"/>
    </xf>
    <xf numFmtId="0" fontId="8" fillId="0" borderId="0" xfId="0" applyFont="1" applyAlignment="1"/>
  </cellXfs>
  <cellStyles count="25">
    <cellStyle name="20% - Accent1" xfId="1" builtinId="30" hidden="1"/>
    <cellStyle name="20% - Accent2" xfId="4" builtinId="34" hidden="1"/>
    <cellStyle name="20% - Accent3" xfId="7" builtinId="38" hidden="1"/>
    <cellStyle name="20% - Accent4" xfId="10" builtinId="42" hidden="1"/>
    <cellStyle name="20% - Accent5" xfId="13" builtinId="46" hidden="1"/>
    <cellStyle name="20% - Accent6" xfId="16" builtinId="50" hidden="1"/>
    <cellStyle name="40% - Accent1" xfId="2" builtinId="31" hidden="1"/>
    <cellStyle name="40% - Accent2" xfId="5" builtinId="35" hidden="1"/>
    <cellStyle name="40% - Accent3" xfId="8" builtinId="39" hidden="1"/>
    <cellStyle name="40% - Accent4" xfId="11" builtinId="43" hidden="1"/>
    <cellStyle name="40% - Accent5" xfId="14" builtinId="47" hidden="1"/>
    <cellStyle name="40% - Accent6" xfId="17" builtinId="51" hidden="1"/>
    <cellStyle name="60% - Accent1" xfId="3" builtinId="32" hidden="1"/>
    <cellStyle name="60% - Accent2" xfId="6" builtinId="36" hidden="1"/>
    <cellStyle name="60% - Accent3" xfId="9" builtinId="40" hidden="1"/>
    <cellStyle name="60% - Accent4" xfId="12" builtinId="44" hidden="1"/>
    <cellStyle name="60% - Accent5" xfId="15" builtinId="48" hidden="1"/>
    <cellStyle name="60% - Accent6" xfId="18" builtinId="52" hidden="1"/>
    <cellStyle name="Check Cell" xfId="20" builtinId="23" hidden="1"/>
    <cellStyle name="Hyperlink" xfId="23" builtinId="8"/>
    <cellStyle name="Linked Cell" xfId="19" builtinId="24" hidden="1"/>
    <cellStyle name="Normal" xfId="0" builtinId="0"/>
    <cellStyle name="Normal 2" xfId="24" xr:uid="{00000000-0005-0000-0000-000030000000}"/>
    <cellStyle name="Percent" xfId="22" builtinId="5"/>
    <cellStyle name="Warning Text" xfId="21" builtinId="11" hidden="1"/>
  </cellStyles>
  <dxfs count="7">
    <dxf>
      <font>
        <color theme="1"/>
      </font>
      <fill>
        <patternFill>
          <bgColor rgb="FFE4EDF8"/>
        </patternFill>
      </fill>
    </dxf>
    <dxf>
      <fill>
        <patternFill>
          <bgColor rgb="FFF2F7FC"/>
        </patternFill>
      </fill>
    </dxf>
    <dxf>
      <font>
        <b/>
        <color auto="1"/>
      </font>
      <fill>
        <patternFill>
          <bgColor rgb="FFE4EDF8"/>
        </patternFill>
      </fill>
    </dxf>
    <dxf>
      <font>
        <b/>
        <color auto="1"/>
      </font>
      <fill>
        <patternFill>
          <bgColor rgb="FFE4EDF8"/>
        </patternFill>
      </fill>
    </dxf>
    <dxf>
      <font>
        <b/>
        <color auto="1"/>
      </font>
      <fill>
        <patternFill>
          <bgColor rgb="FFE4EDF8"/>
        </patternFill>
      </fill>
    </dxf>
    <dxf>
      <font>
        <b/>
        <color theme="0"/>
      </font>
      <fill>
        <patternFill>
          <bgColor theme="3"/>
        </patternFill>
      </fill>
      <border>
        <vertical style="thin">
          <color theme="0"/>
        </vertical>
      </border>
    </dxf>
    <dxf>
      <fill>
        <patternFill>
          <bgColor auto="1"/>
        </patternFill>
      </fill>
      <border>
        <left style="thin">
          <color theme="3"/>
        </left>
        <right style="thin">
          <color theme="3"/>
        </right>
        <top style="thin">
          <color theme="3"/>
        </top>
        <bottom style="thin">
          <color theme="3"/>
        </bottom>
        <vertical style="thin">
          <color theme="3"/>
        </vertical>
        <horizontal style="thin">
          <color theme="3"/>
        </horizontal>
      </border>
    </dxf>
  </dxfs>
  <tableStyles count="1" defaultTableStyle="TableStyleMedium2" defaultPivotStyle="PivotStyleLight16">
    <tableStyle name="GFA-Blue" pivot="0" count="7" xr9:uid="{00000000-0011-0000-FFFF-FFFF00000000}">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gfa2017_neu">
  <a:themeElements>
    <a:clrScheme name="GFA 2017">
      <a:dk1>
        <a:sysClr val="windowText" lastClr="000000"/>
      </a:dk1>
      <a:lt1>
        <a:sysClr val="window" lastClr="FFFFFF"/>
      </a:lt1>
      <a:dk2>
        <a:srgbClr val="1F497D"/>
      </a:dk2>
      <a:lt2>
        <a:srgbClr val="EEECE1"/>
      </a:lt2>
      <a:accent1>
        <a:srgbClr val="121754"/>
      </a:accent1>
      <a:accent2>
        <a:srgbClr val="148DCD"/>
      </a:accent2>
      <a:accent3>
        <a:srgbClr val="94BAE3"/>
      </a:accent3>
      <a:accent4>
        <a:srgbClr val="79B51C"/>
      </a:accent4>
      <a:accent5>
        <a:srgbClr val="ACC705"/>
      </a:accent5>
      <a:accent6>
        <a:srgbClr val="F39200"/>
      </a:accent6>
      <a:hlink>
        <a:srgbClr val="0000FF"/>
      </a:hlink>
      <a:folHlink>
        <a:srgbClr val="7F7F7F"/>
      </a:folHlink>
    </a:clrScheme>
    <a:fontScheme name="GFA">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w="9525">
          <a:solidFill>
            <a:schemeClr val="tx1"/>
          </a:solidFill>
        </a:ln>
      </a:spPr>
      <a:bodyPr lIns="72000" tIns="72000" rIns="72000" bIns="72000" rtlCol="0" anchor="ctr"/>
      <a:lstStyle>
        <a:defPPr algn="ctr">
          <a:lnSpc>
            <a:spcPct val="90000"/>
          </a:lnSpc>
          <a:defRPr dirty="0" err="1"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9525">
          <a:solidFill>
            <a:schemeClr val="tx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marL="216000" indent="-216000">
          <a:buClr>
            <a:schemeClr val="tx2"/>
          </a:buClr>
          <a:buFont typeface="Wingdings" panose="05000000000000000000" pitchFamily="2" charset="2"/>
          <a:buChar char="§"/>
          <a:defRPr dirty="0" err="1" smtClean="0"/>
        </a:defPPr>
      </a:lstStyle>
    </a:txDef>
  </a:objectDefaults>
  <a:extraClrSchemeLst/>
  <a:custClrLst>
    <a:custClr name="GFA Logo Blue">
      <a:srgbClr val="343D9A"/>
    </a:custClr>
    <a:custClr name="GFA Red">
      <a:srgbClr val="F05033"/>
    </a:custClr>
    <a:custClr name="EU Yellow">
      <a:srgbClr val="FFCC00"/>
    </a:custClr>
    <a:custClr name="EU Blue">
      <a:srgbClr val="003399"/>
    </a:custClr>
    <a:custClr name="GFA Offer Dark Green">
      <a:srgbClr val="00AE8E"/>
    </a:custClr>
    <a:custClr name="GFA Offer Light Green">
      <a:srgbClr val="72C8B4"/>
    </a:custClr>
  </a:custClrLst>
  <a:extLst>
    <a:ext uri="{05A4C25C-085E-4340-85A3-A5531E510DB2}">
      <thm15:themeFamily xmlns:thm15="http://schemas.microsoft.com/office/thememl/2012/main" name="gfa2017_neu" id="{305E0AE3-E6CC-459D-BAF7-5E87C118F7D3}" vid="{D0F5188B-438A-47E7-9514-B5ECC6BCFA2E}"/>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atabank.worldbank.org/source/world-development-indicators/Series/EG.GDP.PUSE.KO.PP.KD" TargetMode="External"/><Relationship Id="rId3" Type="http://schemas.openxmlformats.org/officeDocument/2006/relationships/hyperlink" Target="https://ourworldindata.org/grapher/carbon-intensity-electricity?tab=table" TargetMode="External"/><Relationship Id="rId7" Type="http://schemas.openxmlformats.org/officeDocument/2006/relationships/hyperlink" Target="https://ourworldindata.org/grapher/carbon-intensity-electricity?tab=table" TargetMode="External"/><Relationship Id="rId2" Type="http://schemas.openxmlformats.org/officeDocument/2006/relationships/hyperlink" Target="https://databank.worldbank.org/source/world-development-indicators/Series/EG.GDP.PUSE.KO.PP.KD" TargetMode="External"/><Relationship Id="rId1" Type="http://schemas.openxmlformats.org/officeDocument/2006/relationships/hyperlink" Target="https://ourworldindata.org/grapher/carbon-intensity-electricity?tab=table" TargetMode="External"/><Relationship Id="rId6" Type="http://schemas.openxmlformats.org/officeDocument/2006/relationships/hyperlink" Target="https://databank.worldbank.org/source/world-development-indicators/Series/EG.GDP.PUSE.KO.PP.KD" TargetMode="External"/><Relationship Id="rId5" Type="http://schemas.openxmlformats.org/officeDocument/2006/relationships/hyperlink" Target="https://ourworldindata.org/grapher/carbon-intensity-electricity?tab=table" TargetMode="External"/><Relationship Id="rId10" Type="http://schemas.openxmlformats.org/officeDocument/2006/relationships/hyperlink" Target="https://databank.worldbank.org/source/world-development-indicators/Series/EG.GDP.PUSE.KO.PP.KD" TargetMode="External"/><Relationship Id="rId4" Type="http://schemas.openxmlformats.org/officeDocument/2006/relationships/hyperlink" Target="https://databank.worldbank.org/source/world-development-indicators/Series/EG.GDP.PUSE.KO.PP.KD" TargetMode="External"/><Relationship Id="rId9" Type="http://schemas.openxmlformats.org/officeDocument/2006/relationships/hyperlink" Target="https://ourworldindata.org/grapher/carbon-intensity-electricity?tab=table" TargetMode="External"/></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5"/>
  <sheetViews>
    <sheetView workbookViewId="0"/>
  </sheetViews>
  <sheetFormatPr defaultRowHeight="13.5"/>
  <cols>
    <col min="1" max="1" width="50" customWidth="1"/>
    <col min="2" max="2" width="25" customWidth="1"/>
    <col min="3" max="3" width="40" customWidth="1"/>
    <col min="4" max="8" width="12" customWidth="1"/>
    <col min="9" max="9" width="40" customWidth="1"/>
  </cols>
  <sheetData>
    <row r="1" spans="1:9" ht="18">
      <c r="A1" s="28" t="s">
        <v>0</v>
      </c>
    </row>
    <row r="2" spans="1:9">
      <c r="A2" t="s">
        <v>1</v>
      </c>
    </row>
    <row r="4" spans="1:9" ht="15.6">
      <c r="A4" s="29" t="s">
        <v>2</v>
      </c>
    </row>
    <row r="5" spans="1:9">
      <c r="A5" s="30" t="s">
        <v>3</v>
      </c>
      <c r="B5" s="30" t="s">
        <v>4</v>
      </c>
      <c r="C5" s="30" t="s">
        <v>5</v>
      </c>
      <c r="D5" s="30" t="s">
        <v>6</v>
      </c>
      <c r="E5" s="30" t="s">
        <v>7</v>
      </c>
    </row>
    <row r="6" spans="1:9">
      <c r="A6" t="s">
        <v>8</v>
      </c>
      <c r="B6">
        <v>0.38</v>
      </c>
      <c r="C6" t="s">
        <v>9</v>
      </c>
      <c r="D6" t="s">
        <v>10</v>
      </c>
      <c r="E6">
        <v>1</v>
      </c>
    </row>
    <row r="7" spans="1:9">
      <c r="A7" t="s">
        <v>11</v>
      </c>
      <c r="B7">
        <v>0.72699999999999998</v>
      </c>
      <c r="C7" t="s">
        <v>12</v>
      </c>
      <c r="D7" t="s">
        <v>13</v>
      </c>
      <c r="E7">
        <v>1.913</v>
      </c>
    </row>
    <row r="8" spans="1:9">
      <c r="A8" t="s">
        <v>14</v>
      </c>
      <c r="B8">
        <v>0.76</v>
      </c>
      <c r="C8" t="s">
        <v>15</v>
      </c>
      <c r="D8" t="s">
        <v>10</v>
      </c>
      <c r="E8">
        <v>2</v>
      </c>
    </row>
    <row r="9" spans="1:9">
      <c r="A9" t="s">
        <v>16</v>
      </c>
      <c r="B9">
        <v>0.65900000000000003</v>
      </c>
      <c r="C9" t="s">
        <v>17</v>
      </c>
      <c r="D9" t="s">
        <v>10</v>
      </c>
      <c r="E9">
        <v>1.734</v>
      </c>
    </row>
    <row r="10" spans="1:9">
      <c r="A10" t="s">
        <v>18</v>
      </c>
      <c r="B10">
        <v>0.55000000000000004</v>
      </c>
      <c r="C10" t="s">
        <v>19</v>
      </c>
      <c r="D10" t="s">
        <v>20</v>
      </c>
      <c r="E10">
        <v>1.4470000000000001</v>
      </c>
    </row>
    <row r="11" spans="1:9">
      <c r="A11" t="s">
        <v>21</v>
      </c>
      <c r="B11">
        <v>0.46600000000000003</v>
      </c>
      <c r="C11" t="s">
        <v>22</v>
      </c>
      <c r="D11" t="s">
        <v>20</v>
      </c>
      <c r="E11">
        <v>1.226</v>
      </c>
    </row>
    <row r="13" spans="1:9" ht="15.6">
      <c r="A13" s="29" t="s">
        <v>23</v>
      </c>
    </row>
    <row r="14" spans="1:9">
      <c r="A14" s="30" t="s">
        <v>24</v>
      </c>
      <c r="B14" s="30" t="s">
        <v>25</v>
      </c>
      <c r="C14" s="30" t="s">
        <v>26</v>
      </c>
      <c r="D14" s="30" t="s">
        <v>11</v>
      </c>
      <c r="E14" s="30" t="s">
        <v>14</v>
      </c>
      <c r="F14" s="30" t="s">
        <v>16</v>
      </c>
      <c r="G14" s="30" t="s">
        <v>18</v>
      </c>
      <c r="H14" s="30" t="s">
        <v>21</v>
      </c>
      <c r="I14" s="30" t="s">
        <v>27</v>
      </c>
    </row>
    <row r="15" spans="1:9">
      <c r="A15" t="s">
        <v>28</v>
      </c>
      <c r="B15" t="s">
        <v>29</v>
      </c>
      <c r="C15" t="s">
        <v>30</v>
      </c>
      <c r="D15">
        <v>1.4550000000000001</v>
      </c>
      <c r="E15">
        <v>1.393</v>
      </c>
      <c r="F15">
        <v>1.377</v>
      </c>
      <c r="G15">
        <v>1.373</v>
      </c>
      <c r="H15">
        <v>1.252</v>
      </c>
      <c r="I15" t="s">
        <v>31</v>
      </c>
    </row>
    <row r="16" spans="1:9">
      <c r="A16" t="s">
        <v>28</v>
      </c>
      <c r="B16" t="s">
        <v>32</v>
      </c>
      <c r="C16" t="s">
        <v>33</v>
      </c>
      <c r="D16">
        <v>0.873</v>
      </c>
      <c r="E16">
        <v>0.94099999999999995</v>
      </c>
      <c r="F16">
        <v>1.006</v>
      </c>
      <c r="G16">
        <v>0.92300000000000004</v>
      </c>
      <c r="H16">
        <v>1.081</v>
      </c>
      <c r="I16" t="s">
        <v>34</v>
      </c>
    </row>
    <row r="17" spans="1:9">
      <c r="A17" t="s">
        <v>28</v>
      </c>
      <c r="B17" t="s">
        <v>35</v>
      </c>
      <c r="C17" t="s">
        <v>36</v>
      </c>
      <c r="D17">
        <v>4.5540000000000003</v>
      </c>
      <c r="E17">
        <v>2.8570000000000002</v>
      </c>
      <c r="F17">
        <v>3.839</v>
      </c>
      <c r="G17">
        <v>3.75</v>
      </c>
      <c r="H17">
        <v>3.125</v>
      </c>
      <c r="I17" t="s">
        <v>37</v>
      </c>
    </row>
    <row r="18" spans="1:9">
      <c r="A18" t="s">
        <v>28</v>
      </c>
      <c r="B18" t="s">
        <v>38</v>
      </c>
      <c r="C18" t="s">
        <v>39</v>
      </c>
      <c r="D18">
        <v>1.45</v>
      </c>
      <c r="E18">
        <v>1.45</v>
      </c>
      <c r="F18">
        <v>1.1499999999999999</v>
      </c>
      <c r="G18">
        <v>1.1499999999999999</v>
      </c>
      <c r="H18">
        <v>1.1000000000000001</v>
      </c>
      <c r="I18" t="s">
        <v>40</v>
      </c>
    </row>
    <row r="19" spans="1:9">
      <c r="A19" t="s">
        <v>41</v>
      </c>
      <c r="B19" t="s">
        <v>42</v>
      </c>
      <c r="C19" t="s">
        <v>43</v>
      </c>
      <c r="D19">
        <v>1.4239999999999999</v>
      </c>
      <c r="E19">
        <v>1.413</v>
      </c>
      <c r="F19">
        <v>1.35</v>
      </c>
      <c r="G19">
        <v>1.2869999999999999</v>
      </c>
      <c r="H19">
        <v>1.1830000000000001</v>
      </c>
      <c r="I19" t="s">
        <v>44</v>
      </c>
    </row>
    <row r="20" spans="1:9">
      <c r="A20" t="s">
        <v>45</v>
      </c>
      <c r="B20" t="s">
        <v>46</v>
      </c>
      <c r="C20" t="s">
        <v>47</v>
      </c>
      <c r="D20">
        <v>1.5880000000000001</v>
      </c>
      <c r="E20">
        <v>1.64</v>
      </c>
      <c r="F20">
        <v>1.4810000000000001</v>
      </c>
      <c r="G20">
        <v>1.3080000000000001</v>
      </c>
      <c r="H20">
        <v>1.1759999999999999</v>
      </c>
      <c r="I20" t="s">
        <v>48</v>
      </c>
    </row>
    <row r="21" spans="1:9">
      <c r="A21" t="s">
        <v>45</v>
      </c>
      <c r="B21" t="s">
        <v>49</v>
      </c>
      <c r="C21" t="s">
        <v>50</v>
      </c>
      <c r="D21">
        <v>1.42</v>
      </c>
      <c r="E21">
        <v>1.4550000000000001</v>
      </c>
      <c r="F21">
        <v>1.349</v>
      </c>
      <c r="G21">
        <v>1.234</v>
      </c>
      <c r="H21">
        <v>1.1459999999999999</v>
      </c>
      <c r="I21" t="s">
        <v>51</v>
      </c>
    </row>
    <row r="22" spans="1:9">
      <c r="A22" t="s">
        <v>45</v>
      </c>
      <c r="B22" t="s">
        <v>52</v>
      </c>
      <c r="C22" t="s">
        <v>50</v>
      </c>
      <c r="D22">
        <v>1.42</v>
      </c>
      <c r="E22">
        <v>1.4550000000000001</v>
      </c>
      <c r="F22">
        <v>1.349</v>
      </c>
      <c r="G22">
        <v>1.234</v>
      </c>
      <c r="H22">
        <v>1.1459999999999999</v>
      </c>
      <c r="I22" t="s">
        <v>53</v>
      </c>
    </row>
    <row r="23" spans="1:9">
      <c r="A23" t="s">
        <v>45</v>
      </c>
      <c r="B23" t="s">
        <v>54</v>
      </c>
      <c r="C23" t="s">
        <v>55</v>
      </c>
      <c r="D23">
        <v>1.385</v>
      </c>
      <c r="E23">
        <v>1.415</v>
      </c>
      <c r="F23">
        <v>1.3220000000000001</v>
      </c>
      <c r="G23">
        <v>1.222</v>
      </c>
      <c r="H23">
        <v>1.1439999999999999</v>
      </c>
      <c r="I23" t="s">
        <v>56</v>
      </c>
    </row>
    <row r="24" spans="1:9">
      <c r="A24" t="s">
        <v>45</v>
      </c>
      <c r="B24" t="s">
        <v>57</v>
      </c>
      <c r="C24" t="s">
        <v>58</v>
      </c>
      <c r="D24">
        <v>1.147</v>
      </c>
      <c r="E24">
        <v>1.1599999999999999</v>
      </c>
      <c r="F24">
        <v>1.1200000000000001</v>
      </c>
      <c r="G24">
        <v>1.077</v>
      </c>
      <c r="H24">
        <v>1.044</v>
      </c>
      <c r="I24" t="s">
        <v>59</v>
      </c>
    </row>
    <row r="25" spans="1:9">
      <c r="A25" t="s">
        <v>60</v>
      </c>
      <c r="B25" t="s">
        <v>61</v>
      </c>
      <c r="C25" t="s">
        <v>62</v>
      </c>
      <c r="D25" t="s">
        <v>63</v>
      </c>
      <c r="E25" t="s">
        <v>63</v>
      </c>
      <c r="F25" t="s">
        <v>63</v>
      </c>
      <c r="G25" t="s">
        <v>63</v>
      </c>
      <c r="H25" t="s">
        <v>63</v>
      </c>
      <c r="I25" t="s">
        <v>64</v>
      </c>
    </row>
    <row r="26" spans="1:9">
      <c r="A26" t="s">
        <v>45</v>
      </c>
      <c r="B26" t="s">
        <v>65</v>
      </c>
      <c r="C26" t="s">
        <v>66</v>
      </c>
      <c r="D26">
        <v>1.425</v>
      </c>
      <c r="E26">
        <v>1.46</v>
      </c>
      <c r="F26">
        <v>1.3540000000000001</v>
      </c>
      <c r="G26">
        <v>1.2390000000000001</v>
      </c>
      <c r="H26">
        <v>1.151</v>
      </c>
      <c r="I26" t="s">
        <v>67</v>
      </c>
    </row>
    <row r="27" spans="1:9">
      <c r="A27" t="s">
        <v>45</v>
      </c>
      <c r="B27" t="s">
        <v>68</v>
      </c>
      <c r="C27" t="s">
        <v>69</v>
      </c>
      <c r="D27">
        <v>1.1759999999999999</v>
      </c>
      <c r="E27">
        <v>1.1919999999999999</v>
      </c>
      <c r="F27">
        <v>1.1439999999999999</v>
      </c>
      <c r="G27">
        <v>1.093</v>
      </c>
      <c r="H27">
        <v>1.0529999999999999</v>
      </c>
      <c r="I27" t="s">
        <v>70</v>
      </c>
    </row>
    <row r="28" spans="1:9">
      <c r="A28" t="s">
        <v>45</v>
      </c>
      <c r="B28" t="s">
        <v>71</v>
      </c>
      <c r="C28" t="s">
        <v>72</v>
      </c>
      <c r="D28">
        <v>1.081</v>
      </c>
      <c r="E28">
        <v>1.085</v>
      </c>
      <c r="F28">
        <v>1.0720000000000001</v>
      </c>
      <c r="G28">
        <v>1.0569999999999999</v>
      </c>
      <c r="H28">
        <v>1.046</v>
      </c>
      <c r="I28" t="s">
        <v>73</v>
      </c>
    </row>
    <row r="30" spans="1:9" ht="15.6">
      <c r="A30" s="29" t="s">
        <v>74</v>
      </c>
    </row>
    <row r="31" spans="1:9">
      <c r="A31" t="s">
        <v>75</v>
      </c>
      <c r="B31" s="30">
        <v>2.7530000000000001</v>
      </c>
      <c r="C31" s="30">
        <v>2.3330000000000002</v>
      </c>
      <c r="D31" s="30">
        <v>1.018</v>
      </c>
      <c r="E31" s="30">
        <v>1.728</v>
      </c>
      <c r="F31" s="30">
        <v>1.607</v>
      </c>
    </row>
    <row r="32" spans="1:9">
      <c r="A32" t="s">
        <v>3</v>
      </c>
      <c r="B32" s="30" t="s">
        <v>11</v>
      </c>
      <c r="C32" s="30" t="s">
        <v>14</v>
      </c>
      <c r="D32" s="30" t="s">
        <v>16</v>
      </c>
      <c r="E32" s="30" t="s">
        <v>18</v>
      </c>
      <c r="F32" s="30" t="s">
        <v>21</v>
      </c>
    </row>
    <row r="34" spans="1:1" ht="15.6">
      <c r="A34" s="29" t="s">
        <v>76</v>
      </c>
    </row>
    <row r="35" spans="1:1">
      <c r="A35" t="s">
        <v>77</v>
      </c>
    </row>
    <row r="37" spans="1:1">
      <c r="A37" t="s">
        <v>78</v>
      </c>
    </row>
    <row r="38" spans="1:1">
      <c r="A38" t="s">
        <v>79</v>
      </c>
    </row>
    <row r="39" spans="1:1">
      <c r="A39" t="s">
        <v>80</v>
      </c>
    </row>
    <row r="41" spans="1:1">
      <c r="A41" t="s">
        <v>81</v>
      </c>
    </row>
    <row r="42" spans="1:1">
      <c r="A42" t="s">
        <v>82</v>
      </c>
    </row>
    <row r="43" spans="1:1">
      <c r="A43" t="s">
        <v>83</v>
      </c>
    </row>
    <row r="44" spans="1:1">
      <c r="A44" t="s">
        <v>84</v>
      </c>
    </row>
    <row r="45" spans="1:1">
      <c r="A45" t="s">
        <v>85</v>
      </c>
    </row>
    <row r="46" spans="1:1">
      <c r="A46" t="s">
        <v>86</v>
      </c>
    </row>
    <row r="47" spans="1:1">
      <c r="A47" t="s">
        <v>87</v>
      </c>
    </row>
    <row r="48" spans="1:1">
      <c r="A48" t="s">
        <v>88</v>
      </c>
    </row>
    <row r="50" spans="1:1">
      <c r="A50" t="s">
        <v>89</v>
      </c>
    </row>
    <row r="51" spans="1:1">
      <c r="A51" t="s">
        <v>90</v>
      </c>
    </row>
    <row r="53" spans="1:1">
      <c r="A53" t="s">
        <v>91</v>
      </c>
    </row>
    <row r="55" spans="1:1">
      <c r="A55" t="s">
        <v>92</v>
      </c>
    </row>
    <row r="56" spans="1:1">
      <c r="A56" t="s">
        <v>93</v>
      </c>
    </row>
    <row r="57" spans="1:1">
      <c r="A57" t="s">
        <v>94</v>
      </c>
    </row>
    <row r="58" spans="1:1">
      <c r="A58" t="s">
        <v>95</v>
      </c>
    </row>
    <row r="60" spans="1:1">
      <c r="A60" t="s">
        <v>96</v>
      </c>
    </row>
    <row r="61" spans="1:1">
      <c r="A61" t="s">
        <v>97</v>
      </c>
    </row>
    <row r="62" spans="1:1">
      <c r="A62" t="s">
        <v>98</v>
      </c>
    </row>
    <row r="63" spans="1:1">
      <c r="A63" t="s">
        <v>99</v>
      </c>
    </row>
    <row r="64" spans="1:1">
      <c r="A64" t="s">
        <v>100</v>
      </c>
    </row>
    <row r="65" spans="1:1">
      <c r="A65" t="s">
        <v>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M104"/>
  <sheetViews>
    <sheetView topLeftCell="A76" zoomScale="70" zoomScaleNormal="70" workbookViewId="0">
      <selection activeCell="K29" sqref="K29"/>
    </sheetView>
  </sheetViews>
  <sheetFormatPr defaultColWidth="9" defaultRowHeight="15.6"/>
  <cols>
    <col min="1" max="1" width="11.75" style="5" customWidth="1"/>
    <col min="2" max="2" width="12.125" style="5" customWidth="1"/>
    <col min="3" max="3" width="2.125" style="5" customWidth="1"/>
    <col min="4" max="7" width="15.5" style="5" customWidth="1"/>
    <col min="8" max="8" width="13.625" style="5" customWidth="1"/>
    <col min="9" max="9" width="9" style="5" customWidth="1"/>
    <col min="10" max="10" width="3.125" style="5" customWidth="1"/>
    <col min="11" max="11" width="12.875" style="5" customWidth="1"/>
    <col min="12" max="12" width="9" style="5" customWidth="1"/>
    <col min="13" max="16384" width="9" style="5"/>
  </cols>
  <sheetData>
    <row r="1" spans="1:8" ht="20.100000000000001" customHeight="1">
      <c r="A1" s="4" t="s">
        <v>102</v>
      </c>
    </row>
    <row r="2" spans="1:8" ht="20.100000000000001" customHeight="1">
      <c r="A2" s="4"/>
    </row>
    <row r="3" spans="1:8" ht="48" customHeight="1">
      <c r="A3" s="31" t="s">
        <v>103</v>
      </c>
      <c r="B3" s="33"/>
      <c r="C3" s="33"/>
      <c r="D3" s="33"/>
      <c r="E3" s="33"/>
      <c r="F3" s="33"/>
      <c r="G3" s="33"/>
      <c r="H3" s="33"/>
    </row>
    <row r="4" spans="1:8" ht="20.100000000000001" customHeight="1">
      <c r="A4" s="4"/>
    </row>
    <row r="5" spans="1:8" ht="16.5" customHeight="1">
      <c r="D5" s="32" t="s">
        <v>104</v>
      </c>
      <c r="E5" s="33"/>
      <c r="F5" s="32" t="s">
        <v>105</v>
      </c>
      <c r="G5" s="33"/>
    </row>
    <row r="6" spans="1:8">
      <c r="A6" s="5" t="s">
        <v>8</v>
      </c>
      <c r="B6" s="10">
        <f t="shared" ref="B6:B11" si="0">E6*G6</f>
        <v>1</v>
      </c>
      <c r="D6" s="7">
        <v>420.05743000000001</v>
      </c>
      <c r="E6" s="9">
        <f t="shared" ref="E6:E11" si="1">D6/D$6</f>
        <v>1</v>
      </c>
      <c r="F6" s="5">
        <v>82</v>
      </c>
      <c r="G6" s="9">
        <f t="shared" ref="G6:G11" si="2">F6/F$6</f>
        <v>1</v>
      </c>
    </row>
    <row r="7" spans="1:8">
      <c r="A7" s="5" t="s">
        <v>11</v>
      </c>
      <c r="B7" s="10">
        <f t="shared" si="0"/>
        <v>2.7534032174321794</v>
      </c>
      <c r="D7" s="7">
        <v>705.13139999999999</v>
      </c>
      <c r="E7" s="9">
        <f t="shared" si="1"/>
        <v>1.6786547496612545</v>
      </c>
      <c r="F7" s="5">
        <v>134.5</v>
      </c>
      <c r="G7" s="9">
        <f t="shared" si="2"/>
        <v>1.6402439024390243</v>
      </c>
    </row>
    <row r="8" spans="1:8">
      <c r="A8" s="5" t="s">
        <v>14</v>
      </c>
      <c r="B8" s="10">
        <f t="shared" si="0"/>
        <v>2.3332519198624815</v>
      </c>
      <c r="D8" s="7">
        <v>675.93089999999995</v>
      </c>
      <c r="E8" s="9">
        <f t="shared" si="1"/>
        <v>1.6091392550775734</v>
      </c>
      <c r="F8" s="5">
        <v>118.9</v>
      </c>
      <c r="G8" s="9">
        <f t="shared" si="2"/>
        <v>1.4500000000000002</v>
      </c>
    </row>
    <row r="9" spans="1:8">
      <c r="A9" s="5" t="s">
        <v>16</v>
      </c>
      <c r="B9" s="10">
        <f t="shared" si="0"/>
        <v>1.0184130563336333</v>
      </c>
      <c r="D9" s="7">
        <v>409.80072000000001</v>
      </c>
      <c r="E9" s="9">
        <f t="shared" si="1"/>
        <v>0.97558260069343372</v>
      </c>
      <c r="F9" s="5">
        <v>85.6</v>
      </c>
      <c r="G9" s="9">
        <f t="shared" si="2"/>
        <v>1.0439024390243903</v>
      </c>
    </row>
    <row r="10" spans="1:8">
      <c r="A10" s="5" t="s">
        <v>18</v>
      </c>
      <c r="B10" s="10">
        <f t="shared" si="0"/>
        <v>1.7280814928846926</v>
      </c>
      <c r="D10" s="7">
        <v>417.70711999999997</v>
      </c>
      <c r="E10" s="9">
        <f t="shared" si="1"/>
        <v>0.99440478888803363</v>
      </c>
      <c r="F10" s="5">
        <v>142.5</v>
      </c>
      <c r="G10" s="9">
        <f t="shared" si="2"/>
        <v>1.7378048780487805</v>
      </c>
    </row>
    <row r="11" spans="1:8">
      <c r="A11" s="5" t="s">
        <v>21</v>
      </c>
      <c r="B11" s="10">
        <f t="shared" si="0"/>
        <v>1.60678738241729</v>
      </c>
      <c r="D11" s="7">
        <v>560.74289999999996</v>
      </c>
      <c r="E11" s="9">
        <f t="shared" si="1"/>
        <v>1.3349196084925814</v>
      </c>
      <c r="F11" s="5">
        <v>98.7</v>
      </c>
      <c r="G11" s="9">
        <f t="shared" si="2"/>
        <v>1.2036585365853658</v>
      </c>
    </row>
    <row r="14" spans="1:8">
      <c r="A14" s="5" t="s">
        <v>106</v>
      </c>
      <c r="B14" s="6" t="s">
        <v>107</v>
      </c>
    </row>
    <row r="15" spans="1:8">
      <c r="B15" s="6" t="s">
        <v>108</v>
      </c>
    </row>
    <row r="16" spans="1:8" ht="15.95" customHeight="1">
      <c r="B16" s="8" t="s">
        <v>109</v>
      </c>
    </row>
    <row r="18" spans="1:13" ht="20.100000000000001" customHeight="1">
      <c r="A18" s="4" t="s">
        <v>110</v>
      </c>
      <c r="E18" s="27" t="s">
        <v>111</v>
      </c>
      <c r="F18" s="27"/>
    </row>
    <row r="20" spans="1:13">
      <c r="A20" s="5" t="s">
        <v>112</v>
      </c>
      <c r="D20" s="21">
        <v>0.4</v>
      </c>
    </row>
    <row r="21" spans="1:13">
      <c r="A21" s="5" t="s">
        <v>113</v>
      </c>
      <c r="D21" s="21">
        <v>0.2</v>
      </c>
    </row>
    <row r="22" spans="1:13">
      <c r="A22" s="5" t="s">
        <v>114</v>
      </c>
      <c r="D22" s="21">
        <f>1-D21-D20</f>
        <v>0.4</v>
      </c>
    </row>
    <row r="23" spans="1:13">
      <c r="D23" s="21"/>
    </row>
    <row r="24" spans="1:13">
      <c r="A24" s="5" t="s">
        <v>115</v>
      </c>
      <c r="D24" s="21">
        <v>0.2</v>
      </c>
      <c r="E24" s="5" t="s">
        <v>116</v>
      </c>
    </row>
    <row r="25" spans="1:13">
      <c r="D25" s="21"/>
    </row>
    <row r="27" spans="1:13" ht="16.5" customHeight="1">
      <c r="D27" s="32" t="s">
        <v>104</v>
      </c>
      <c r="E27" s="33"/>
      <c r="F27" s="32" t="s">
        <v>105</v>
      </c>
      <c r="G27" s="33"/>
      <c r="I27" s="20" t="s">
        <v>117</v>
      </c>
    </row>
    <row r="28" spans="1:13">
      <c r="A28" s="5" t="s">
        <v>8</v>
      </c>
      <c r="B28" s="10">
        <f t="shared" ref="B28:B33" si="3">E28*G28</f>
        <v>1</v>
      </c>
      <c r="D28" s="7">
        <v>420.05743000000001</v>
      </c>
      <c r="E28" s="9">
        <f t="shared" ref="E28:E33" si="4">D28/D$6</f>
        <v>1</v>
      </c>
      <c r="F28" s="5">
        <v>82</v>
      </c>
      <c r="G28" s="9">
        <f t="shared" ref="G28:G33" si="5">F28/F$6</f>
        <v>1</v>
      </c>
      <c r="I28" s="22">
        <v>1</v>
      </c>
      <c r="K28" s="23">
        <f>B28</f>
        <v>1</v>
      </c>
      <c r="M28" s="25">
        <f t="shared" ref="M28:M33" si="6">K28/B28-1</f>
        <v>0</v>
      </c>
    </row>
    <row r="29" spans="1:13">
      <c r="A29" s="5" t="s">
        <v>11</v>
      </c>
      <c r="B29" s="10">
        <f t="shared" si="3"/>
        <v>2.7534032174321794</v>
      </c>
      <c r="D29" s="7">
        <v>705.13139999999999</v>
      </c>
      <c r="E29" s="9">
        <f t="shared" si="4"/>
        <v>1.6786547496612545</v>
      </c>
      <c r="F29" s="5">
        <v>134.5</v>
      </c>
      <c r="G29" s="9">
        <f t="shared" si="5"/>
        <v>1.6402439024390243</v>
      </c>
      <c r="I29" s="22">
        <v>1.1000000000000001</v>
      </c>
      <c r="K29" s="24">
        <f>(1-$D$24)*B7+$D$24*(D$20+D$21*I29+D$22*E29)</f>
        <v>2.4610149539186437</v>
      </c>
      <c r="M29" s="25">
        <f t="shared" si="6"/>
        <v>-0.1061915892530324</v>
      </c>
    </row>
    <row r="30" spans="1:13">
      <c r="A30" s="5" t="s">
        <v>14</v>
      </c>
      <c r="B30" s="10">
        <f t="shared" si="3"/>
        <v>2.3332519198624815</v>
      </c>
      <c r="D30" s="7">
        <v>675.93089999999995</v>
      </c>
      <c r="E30" s="9">
        <f t="shared" si="4"/>
        <v>1.6091392550775734</v>
      </c>
      <c r="F30" s="5">
        <v>118.9</v>
      </c>
      <c r="G30" s="9">
        <f t="shared" si="5"/>
        <v>1.4500000000000002</v>
      </c>
      <c r="I30" s="22">
        <v>1.1000000000000001</v>
      </c>
      <c r="K30" s="24">
        <f>(1-$D$24)*B8+$D$24*(D$20+D$21*I30+D$22*E30)</f>
        <v>2.119332676296191</v>
      </c>
      <c r="M30" s="25">
        <f t="shared" si="6"/>
        <v>-9.1682874766004119E-2</v>
      </c>
    </row>
    <row r="31" spans="1:13">
      <c r="A31" s="5" t="s">
        <v>16</v>
      </c>
      <c r="B31" s="10">
        <f t="shared" si="3"/>
        <v>1.0184130563336333</v>
      </c>
      <c r="D31" s="7">
        <v>409.80072000000001</v>
      </c>
      <c r="E31" s="9">
        <f t="shared" si="4"/>
        <v>0.97558260069343372</v>
      </c>
      <c r="F31" s="5">
        <v>85.6</v>
      </c>
      <c r="G31" s="9">
        <f t="shared" si="5"/>
        <v>1.0439024390243903</v>
      </c>
      <c r="I31" s="22">
        <v>1.1000000000000001</v>
      </c>
      <c r="K31" s="24">
        <f>(1-$D$24)*B9+$D$24*(D$20+D$21*I31+D$22*E31)</f>
        <v>1.0167770531223814</v>
      </c>
      <c r="M31" s="25">
        <f t="shared" si="6"/>
        <v>-1.606424034999776E-3</v>
      </c>
    </row>
    <row r="32" spans="1:13">
      <c r="A32" s="5" t="s">
        <v>18</v>
      </c>
      <c r="B32" s="10">
        <f t="shared" si="3"/>
        <v>1.7280814928846926</v>
      </c>
      <c r="D32" s="7">
        <v>417.70711999999997</v>
      </c>
      <c r="E32" s="9">
        <f t="shared" si="4"/>
        <v>0.99440478888803363</v>
      </c>
      <c r="F32" s="5">
        <v>142.5</v>
      </c>
      <c r="G32" s="9">
        <f t="shared" si="5"/>
        <v>1.7378048780487805</v>
      </c>
      <c r="I32" s="22">
        <v>1.1000000000000001</v>
      </c>
      <c r="K32" s="24">
        <f>(1-$D$24)*B10+$D$24*(D$20+D$21*I32+D$22*E32)</f>
        <v>1.5860175774187968</v>
      </c>
      <c r="M32" s="25">
        <f t="shared" si="6"/>
        <v>-8.2209037045323563E-2</v>
      </c>
    </row>
    <row r="33" spans="1:13">
      <c r="A33" s="5" t="s">
        <v>21</v>
      </c>
      <c r="B33" s="10">
        <f t="shared" si="3"/>
        <v>1.60678738241729</v>
      </c>
      <c r="D33" s="7">
        <v>560.74289999999996</v>
      </c>
      <c r="E33" s="9">
        <f t="shared" si="4"/>
        <v>1.3349196084925814</v>
      </c>
      <c r="F33" s="5">
        <v>98.7</v>
      </c>
      <c r="G33" s="9">
        <f t="shared" si="5"/>
        <v>1.2036585365853658</v>
      </c>
      <c r="I33" s="22">
        <v>1.1000000000000001</v>
      </c>
      <c r="K33" s="24">
        <f>(1-$D$24)*B11+$D$24*(D$20+D$21*I33+D$22*E33)</f>
        <v>1.5162234746132386</v>
      </c>
      <c r="M33" s="25">
        <f t="shared" si="6"/>
        <v>-5.6363342651972292E-2</v>
      </c>
    </row>
    <row r="36" spans="1:13">
      <c r="A36" s="5" t="s">
        <v>106</v>
      </c>
      <c r="B36" s="6" t="s">
        <v>107</v>
      </c>
    </row>
    <row r="37" spans="1:13">
      <c r="B37" s="6" t="s">
        <v>108</v>
      </c>
    </row>
    <row r="38" spans="1:13" ht="15.95" customHeight="1">
      <c r="B38" s="8" t="s">
        <v>109</v>
      </c>
    </row>
    <row r="40" spans="1:13" ht="20.100000000000001" customHeight="1">
      <c r="A40" s="4" t="s">
        <v>118</v>
      </c>
    </row>
    <row r="42" spans="1:13">
      <c r="A42" s="5" t="s">
        <v>112</v>
      </c>
      <c r="D42" s="21">
        <v>0.05</v>
      </c>
    </row>
    <row r="43" spans="1:13">
      <c r="A43" s="5" t="s">
        <v>113</v>
      </c>
      <c r="D43" s="21">
        <v>0.25</v>
      </c>
    </row>
    <row r="44" spans="1:13">
      <c r="A44" s="5" t="s">
        <v>114</v>
      </c>
      <c r="D44" s="21">
        <f>1-D43-D42</f>
        <v>0.7</v>
      </c>
    </row>
    <row r="45" spans="1:13">
      <c r="D45" s="21"/>
    </row>
    <row r="46" spans="1:13">
      <c r="A46" s="5" t="s">
        <v>115</v>
      </c>
      <c r="D46" s="21">
        <v>1</v>
      </c>
      <c r="E46" s="5" t="s">
        <v>116</v>
      </c>
    </row>
    <row r="47" spans="1:13">
      <c r="D47" s="21"/>
    </row>
    <row r="49" spans="1:13" ht="16.5" customHeight="1">
      <c r="D49" s="32" t="s">
        <v>104</v>
      </c>
      <c r="E49" s="33"/>
      <c r="F49" s="32" t="s">
        <v>105</v>
      </c>
      <c r="G49" s="33"/>
      <c r="I49" s="20" t="s">
        <v>117</v>
      </c>
    </row>
    <row r="50" spans="1:13">
      <c r="A50" s="5" t="s">
        <v>8</v>
      </c>
      <c r="B50" s="10">
        <f t="shared" ref="B50:B55" si="7">E50*G50</f>
        <v>1</v>
      </c>
      <c r="D50" s="7">
        <v>420.05743000000001</v>
      </c>
      <c r="E50" s="9">
        <f t="shared" ref="E50:E55" si="8">D50/D$6</f>
        <v>1</v>
      </c>
      <c r="F50" s="5">
        <v>82</v>
      </c>
      <c r="G50" s="9">
        <f t="shared" ref="G50:G55" si="9">F50/F$6</f>
        <v>1</v>
      </c>
      <c r="I50" s="26">
        <v>1</v>
      </c>
      <c r="K50" s="23">
        <f>B50</f>
        <v>1</v>
      </c>
      <c r="M50" s="25">
        <f t="shared" ref="M50:M55" si="10">K50/B50-1</f>
        <v>0</v>
      </c>
    </row>
    <row r="51" spans="1:13">
      <c r="A51" s="5" t="s">
        <v>11</v>
      </c>
      <c r="B51" s="10">
        <f t="shared" si="7"/>
        <v>2.7534032174321794</v>
      </c>
      <c r="D51" s="7">
        <v>705.13139999999999</v>
      </c>
      <c r="E51" s="9">
        <f t="shared" si="8"/>
        <v>1.6786547496612545</v>
      </c>
      <c r="F51" s="5">
        <v>134.5</v>
      </c>
      <c r="G51" s="9">
        <f t="shared" si="9"/>
        <v>1.6402439024390243</v>
      </c>
      <c r="I51" s="26">
        <v>1.1499999999999999</v>
      </c>
      <c r="K51" s="24">
        <f>(1-$D$46)*B51+$D$46*(D$42+D$43*I51+D$44*E51)</f>
        <v>1.512558324762878</v>
      </c>
      <c r="M51" s="25">
        <f t="shared" si="10"/>
        <v>-0.45065861941808583</v>
      </c>
    </row>
    <row r="52" spans="1:13">
      <c r="A52" s="5" t="s">
        <v>14</v>
      </c>
      <c r="B52" s="10">
        <f t="shared" si="7"/>
        <v>2.3332519198624815</v>
      </c>
      <c r="D52" s="7">
        <v>675.93089999999995</v>
      </c>
      <c r="E52" s="9">
        <f t="shared" si="8"/>
        <v>1.6091392550775734</v>
      </c>
      <c r="F52" s="5">
        <v>118.9</v>
      </c>
      <c r="G52" s="9">
        <f t="shared" si="9"/>
        <v>1.4500000000000002</v>
      </c>
      <c r="I52" s="26">
        <v>1.1499999999999999</v>
      </c>
      <c r="K52" s="24">
        <f>(1-$D$46)*B52+$D$46*(D$42+D$43*I52+D$44*E52)</f>
        <v>1.4638974785543013</v>
      </c>
      <c r="M52" s="25">
        <f t="shared" si="10"/>
        <v>-0.37259347518694796</v>
      </c>
    </row>
    <row r="53" spans="1:13">
      <c r="A53" s="5" t="s">
        <v>16</v>
      </c>
      <c r="B53" s="10">
        <f t="shared" si="7"/>
        <v>1.0184130563336333</v>
      </c>
      <c r="D53" s="7">
        <v>409.80072000000001</v>
      </c>
      <c r="E53" s="9">
        <f t="shared" si="8"/>
        <v>0.97558260069343372</v>
      </c>
      <c r="F53" s="5">
        <v>85.6</v>
      </c>
      <c r="G53" s="9">
        <f t="shared" si="9"/>
        <v>1.0439024390243903</v>
      </c>
      <c r="I53" s="26">
        <v>1.1499999999999999</v>
      </c>
      <c r="K53" s="24">
        <f>(1-$D$46)*B53+$D$46*(D$42+D$43*I53+D$44*E53)</f>
        <v>1.0204078204854035</v>
      </c>
      <c r="M53" s="25">
        <f t="shared" si="10"/>
        <v>1.9586985254798073E-3</v>
      </c>
    </row>
    <row r="54" spans="1:13">
      <c r="A54" s="5" t="s">
        <v>18</v>
      </c>
      <c r="B54" s="10">
        <f t="shared" si="7"/>
        <v>1.7280814928846926</v>
      </c>
      <c r="D54" s="7">
        <v>417.70711999999997</v>
      </c>
      <c r="E54" s="9">
        <f t="shared" si="8"/>
        <v>0.99440478888803363</v>
      </c>
      <c r="F54" s="5">
        <v>142.5</v>
      </c>
      <c r="G54" s="9">
        <f t="shared" si="9"/>
        <v>1.7378048780487805</v>
      </c>
      <c r="I54" s="26">
        <v>1.1499999999999999</v>
      </c>
      <c r="K54" s="24">
        <f>(1-$D$46)*B54+$D$46*(D$42+D$43*I54+D$44*E54)</f>
        <v>1.0335833522216236</v>
      </c>
      <c r="M54" s="25">
        <f t="shared" si="10"/>
        <v>-0.40188969300501032</v>
      </c>
    </row>
    <row r="55" spans="1:13">
      <c r="A55" s="5" t="s">
        <v>21</v>
      </c>
      <c r="B55" s="10">
        <f t="shared" si="7"/>
        <v>1.60678738241729</v>
      </c>
      <c r="D55" s="7">
        <v>560.74289999999996</v>
      </c>
      <c r="E55" s="9">
        <f t="shared" si="8"/>
        <v>1.3349196084925814</v>
      </c>
      <c r="F55" s="5">
        <v>98.7</v>
      </c>
      <c r="G55" s="9">
        <f t="shared" si="9"/>
        <v>1.2036585365853658</v>
      </c>
      <c r="I55" s="26">
        <v>1.1499999999999999</v>
      </c>
      <c r="K55" s="24">
        <f>(1-$D$46)*B55+$D$46*(D$42+D$43*I55+D$44*E55)</f>
        <v>1.271943725944807</v>
      </c>
      <c r="M55" s="25">
        <f t="shared" si="10"/>
        <v>-0.20839325733858827</v>
      </c>
    </row>
    <row r="58" spans="1:13">
      <c r="A58" s="5" t="s">
        <v>106</v>
      </c>
      <c r="B58" s="6" t="s">
        <v>107</v>
      </c>
    </row>
    <row r="59" spans="1:13">
      <c r="B59" s="6" t="s">
        <v>108</v>
      </c>
    </row>
    <row r="60" spans="1:13" ht="15.95" customHeight="1">
      <c r="B60" s="8" t="s">
        <v>109</v>
      </c>
    </row>
    <row r="62" spans="1:13" ht="20.100000000000001" customHeight="1">
      <c r="A62" s="4" t="s">
        <v>119</v>
      </c>
    </row>
    <row r="64" spans="1:13">
      <c r="A64" s="5" t="s">
        <v>112</v>
      </c>
      <c r="D64" s="21">
        <v>0</v>
      </c>
    </row>
    <row r="65" spans="1:13">
      <c r="A65" s="5" t="s">
        <v>113</v>
      </c>
      <c r="D65" s="21">
        <v>0.85</v>
      </c>
    </row>
    <row r="66" spans="1:13">
      <c r="A66" s="5" t="s">
        <v>114</v>
      </c>
      <c r="D66" s="21">
        <f>1-D65-D64</f>
        <v>0.15000000000000002</v>
      </c>
    </row>
    <row r="67" spans="1:13">
      <c r="D67" s="21"/>
    </row>
    <row r="68" spans="1:13">
      <c r="A68" s="5" t="s">
        <v>115</v>
      </c>
      <c r="D68" s="21">
        <v>1</v>
      </c>
      <c r="E68" s="5" t="s">
        <v>116</v>
      </c>
    </row>
    <row r="69" spans="1:13">
      <c r="D69" s="21"/>
    </row>
    <row r="71" spans="1:13" ht="16.5" customHeight="1">
      <c r="D71" s="32" t="s">
        <v>104</v>
      </c>
      <c r="E71" s="33"/>
      <c r="F71" s="32" t="s">
        <v>105</v>
      </c>
      <c r="G71" s="33"/>
      <c r="I71" s="20" t="s">
        <v>117</v>
      </c>
    </row>
    <row r="72" spans="1:13">
      <c r="A72" s="5" t="s">
        <v>8</v>
      </c>
      <c r="B72" s="10">
        <f t="shared" ref="B72:B77" si="11">E72*G72</f>
        <v>1</v>
      </c>
      <c r="D72" s="7">
        <v>420.05743000000001</v>
      </c>
      <c r="E72" s="9">
        <f t="shared" ref="E72:E77" si="12">D72/D$6</f>
        <v>1</v>
      </c>
      <c r="F72" s="5">
        <v>82</v>
      </c>
      <c r="G72" s="9">
        <f t="shared" ref="G72:G77" si="13">F72/F$6</f>
        <v>1</v>
      </c>
      <c r="I72" s="26">
        <v>1</v>
      </c>
      <c r="K72" s="23">
        <f>B72</f>
        <v>1</v>
      </c>
      <c r="M72" s="25">
        <f t="shared" ref="M72:M77" si="14">K72/B72-1</f>
        <v>0</v>
      </c>
    </row>
    <row r="73" spans="1:13">
      <c r="A73" s="5" t="s">
        <v>11</v>
      </c>
      <c r="B73" s="10">
        <f t="shared" si="11"/>
        <v>2.7534032174321794</v>
      </c>
      <c r="D73" s="7">
        <v>705.13139999999999</v>
      </c>
      <c r="E73" s="9">
        <f t="shared" si="12"/>
        <v>1.6786547496612545</v>
      </c>
      <c r="F73" s="5">
        <v>134.5</v>
      </c>
      <c r="G73" s="9">
        <f t="shared" si="13"/>
        <v>1.6402439024390243</v>
      </c>
      <c r="I73" s="26">
        <v>1.1499999999999999</v>
      </c>
      <c r="K73" s="24">
        <f>(1-$D$68)*B73+$D$68*(D$64+D$65*I73+D$66*E73)</f>
        <v>1.229298212449188</v>
      </c>
      <c r="M73" s="25">
        <f t="shared" si="14"/>
        <v>-0.55353498366445941</v>
      </c>
    </row>
    <row r="74" spans="1:13">
      <c r="A74" s="5" t="s">
        <v>14</v>
      </c>
      <c r="B74" s="10">
        <f t="shared" si="11"/>
        <v>2.3332519198624815</v>
      </c>
      <c r="D74" s="7">
        <v>675.93089999999995</v>
      </c>
      <c r="E74" s="9">
        <f t="shared" si="12"/>
        <v>1.6091392550775734</v>
      </c>
      <c r="F74" s="5">
        <v>118.9</v>
      </c>
      <c r="G74" s="9">
        <f t="shared" si="13"/>
        <v>1.4500000000000002</v>
      </c>
      <c r="I74" s="26">
        <v>1.1499999999999999</v>
      </c>
      <c r="K74" s="24">
        <f>(1-$D$68)*B74+$D$68*(D$64+D$65*I74+D$66*E74)</f>
        <v>1.2188708882616359</v>
      </c>
      <c r="M74" s="25">
        <f t="shared" si="14"/>
        <v>-0.47760853515831481</v>
      </c>
    </row>
    <row r="75" spans="1:13">
      <c r="A75" s="5" t="s">
        <v>16</v>
      </c>
      <c r="B75" s="10">
        <f t="shared" si="11"/>
        <v>1.0184130563336333</v>
      </c>
      <c r="D75" s="7">
        <v>409.80072000000001</v>
      </c>
      <c r="E75" s="9">
        <f t="shared" si="12"/>
        <v>0.97558260069343372</v>
      </c>
      <c r="F75" s="5">
        <v>85.6</v>
      </c>
      <c r="G75" s="9">
        <f t="shared" si="13"/>
        <v>1.0439024390243903</v>
      </c>
      <c r="I75" s="26">
        <v>1.1499999999999999</v>
      </c>
      <c r="K75" s="24">
        <f>(1-$D$68)*B75+$D$68*(D$64+D$65*I75+D$66*E75)</f>
        <v>1.1238373901040151</v>
      </c>
      <c r="M75" s="25">
        <f t="shared" si="14"/>
        <v>0.10351824646663266</v>
      </c>
    </row>
    <row r="76" spans="1:13">
      <c r="A76" s="5" t="s">
        <v>18</v>
      </c>
      <c r="B76" s="10">
        <f t="shared" si="11"/>
        <v>1.7280814928846926</v>
      </c>
      <c r="D76" s="7">
        <v>417.70711999999997</v>
      </c>
      <c r="E76" s="9">
        <f t="shared" si="12"/>
        <v>0.99440478888803363</v>
      </c>
      <c r="F76" s="5">
        <v>142.5</v>
      </c>
      <c r="G76" s="9">
        <f t="shared" si="13"/>
        <v>1.7378048780487805</v>
      </c>
      <c r="I76" s="26">
        <v>1.1499999999999999</v>
      </c>
      <c r="K76" s="24">
        <f>(1-$D$68)*B76+$D$68*(D$64+D$65*I76+D$66*E76)</f>
        <v>1.1266607183332049</v>
      </c>
      <c r="M76" s="25">
        <f t="shared" si="14"/>
        <v>-0.34802801663452443</v>
      </c>
    </row>
    <row r="77" spans="1:13">
      <c r="A77" s="5" t="s">
        <v>21</v>
      </c>
      <c r="B77" s="10">
        <f t="shared" si="11"/>
        <v>1.60678738241729</v>
      </c>
      <c r="D77" s="7">
        <v>560.74289999999996</v>
      </c>
      <c r="E77" s="9">
        <f t="shared" si="12"/>
        <v>1.3349196084925814</v>
      </c>
      <c r="F77" s="5">
        <v>98.7</v>
      </c>
      <c r="G77" s="9">
        <f t="shared" si="13"/>
        <v>1.2036585365853658</v>
      </c>
      <c r="I77" s="26">
        <v>1.1499999999999999</v>
      </c>
      <c r="K77" s="24">
        <f>(1-$D$68)*B77+$D$68*(D$64+D$65*I77+D$66*E77)</f>
        <v>1.1777379412738871</v>
      </c>
      <c r="M77" s="25">
        <f t="shared" si="14"/>
        <v>-0.26702315803471799</v>
      </c>
    </row>
    <row r="80" spans="1:13">
      <c r="A80" s="5" t="s">
        <v>106</v>
      </c>
      <c r="B80" s="6" t="s">
        <v>107</v>
      </c>
    </row>
    <row r="81" spans="1:13">
      <c r="B81" s="6" t="s">
        <v>108</v>
      </c>
    </row>
    <row r="82" spans="1:13" ht="15.95" customHeight="1">
      <c r="B82" s="8" t="s">
        <v>109</v>
      </c>
    </row>
    <row r="84" spans="1:13" ht="20.100000000000001" customHeight="1">
      <c r="A84" s="4" t="s">
        <v>120</v>
      </c>
    </row>
    <row r="86" spans="1:13">
      <c r="A86" s="5" t="s">
        <v>112</v>
      </c>
      <c r="D86" s="21">
        <v>0.25</v>
      </c>
    </row>
    <row r="87" spans="1:13">
      <c r="A87" s="5" t="s">
        <v>113</v>
      </c>
      <c r="D87" s="21">
        <v>0.35</v>
      </c>
    </row>
    <row r="88" spans="1:13">
      <c r="A88" s="5" t="s">
        <v>114</v>
      </c>
      <c r="D88" s="21">
        <f>1-D87-D86</f>
        <v>0.4</v>
      </c>
    </row>
    <row r="89" spans="1:13">
      <c r="D89" s="21"/>
    </row>
    <row r="90" spans="1:13">
      <c r="A90" s="5" t="s">
        <v>115</v>
      </c>
      <c r="D90" s="21">
        <v>1</v>
      </c>
      <c r="E90" s="5" t="s">
        <v>116</v>
      </c>
    </row>
    <row r="91" spans="1:13">
      <c r="D91" s="21"/>
    </row>
    <row r="93" spans="1:13" ht="16.5" customHeight="1">
      <c r="D93" s="32" t="s">
        <v>104</v>
      </c>
      <c r="E93" s="33"/>
      <c r="F93" s="32" t="s">
        <v>105</v>
      </c>
      <c r="G93" s="33"/>
      <c r="I93" s="20" t="s">
        <v>117</v>
      </c>
    </row>
    <row r="94" spans="1:13">
      <c r="A94" s="5" t="s">
        <v>8</v>
      </c>
      <c r="B94" s="10">
        <f t="shared" ref="B94:B99" si="15">E94*G94</f>
        <v>1</v>
      </c>
      <c r="D94" s="7">
        <v>420.05743000000001</v>
      </c>
      <c r="E94" s="9">
        <f t="shared" ref="E94:E99" si="16">D94/D$6</f>
        <v>1</v>
      </c>
      <c r="F94" s="5">
        <v>82</v>
      </c>
      <c r="G94" s="9">
        <f t="shared" ref="G94:G99" si="17">F94/F$6</f>
        <v>1</v>
      </c>
      <c r="I94" s="26">
        <v>1</v>
      </c>
      <c r="K94" s="23">
        <f>B94</f>
        <v>1</v>
      </c>
      <c r="M94" s="25">
        <f t="shared" ref="M94:M99" si="18">K94/B94-1</f>
        <v>0</v>
      </c>
    </row>
    <row r="95" spans="1:13">
      <c r="A95" s="5" t="s">
        <v>11</v>
      </c>
      <c r="B95" s="10">
        <f t="shared" si="15"/>
        <v>2.7534032174321794</v>
      </c>
      <c r="D95" s="7">
        <v>705.13139999999999</v>
      </c>
      <c r="E95" s="9">
        <f t="shared" si="16"/>
        <v>1.6786547496612545</v>
      </c>
      <c r="F95" s="5">
        <v>134.5</v>
      </c>
      <c r="G95" s="9">
        <f t="shared" si="17"/>
        <v>1.6402439024390243</v>
      </c>
      <c r="I95" s="26">
        <v>1.1499999999999999</v>
      </c>
      <c r="K95" s="24">
        <f>(1-$D$90)*B95+$D$90*(D$86+D$87*I95+D$88*E95)</f>
        <v>1.3239618998645017</v>
      </c>
      <c r="M95" s="25">
        <f t="shared" si="18"/>
        <v>-0.51915437176715917</v>
      </c>
    </row>
    <row r="96" spans="1:13">
      <c r="A96" s="5" t="s">
        <v>14</v>
      </c>
      <c r="B96" s="10">
        <f t="shared" si="15"/>
        <v>2.3332519198624815</v>
      </c>
      <c r="D96" s="7">
        <v>675.93089999999995</v>
      </c>
      <c r="E96" s="9">
        <f t="shared" si="16"/>
        <v>1.6091392550775734</v>
      </c>
      <c r="F96" s="5">
        <v>118.9</v>
      </c>
      <c r="G96" s="9">
        <f t="shared" si="17"/>
        <v>1.4500000000000002</v>
      </c>
      <c r="I96" s="26">
        <v>1.1499999999999999</v>
      </c>
      <c r="K96" s="24">
        <f>(1-$D$90)*B96+$D$90*(D$86+D$87*I96+D$88*E96)</f>
        <v>1.2961557020310295</v>
      </c>
      <c r="M96" s="25">
        <f t="shared" si="18"/>
        <v>-0.44448531639591538</v>
      </c>
    </row>
    <row r="97" spans="1:13">
      <c r="A97" s="5" t="s">
        <v>16</v>
      </c>
      <c r="B97" s="10">
        <f t="shared" si="15"/>
        <v>1.0184130563336333</v>
      </c>
      <c r="D97" s="7">
        <v>409.80072000000001</v>
      </c>
      <c r="E97" s="9">
        <f t="shared" si="16"/>
        <v>0.97558260069343372</v>
      </c>
      <c r="F97" s="5">
        <v>85.6</v>
      </c>
      <c r="G97" s="9">
        <f t="shared" si="17"/>
        <v>1.0439024390243903</v>
      </c>
      <c r="I97" s="26">
        <v>1.1499999999999999</v>
      </c>
      <c r="K97" s="24">
        <f>(1-$D$90)*B97+$D$90*(D$86+D$87*I97+D$88*E97)</f>
        <v>1.0427330402773736</v>
      </c>
      <c r="M97" s="25">
        <f t="shared" si="18"/>
        <v>2.3880275093186798E-2</v>
      </c>
    </row>
    <row r="98" spans="1:13">
      <c r="A98" s="5" t="s">
        <v>18</v>
      </c>
      <c r="B98" s="10">
        <f t="shared" si="15"/>
        <v>1.7280814928846926</v>
      </c>
      <c r="D98" s="7">
        <v>417.70711999999997</v>
      </c>
      <c r="E98" s="9">
        <f t="shared" si="16"/>
        <v>0.99440478888803363</v>
      </c>
      <c r="F98" s="5">
        <v>142.5</v>
      </c>
      <c r="G98" s="9">
        <f t="shared" si="17"/>
        <v>1.7378048780487805</v>
      </c>
      <c r="I98" s="26">
        <v>1.1499999999999999</v>
      </c>
      <c r="K98" s="24">
        <f>(1-$D$90)*B98+$D$90*(D$86+D$87*I98+D$88*E98)</f>
        <v>1.0502619155552133</v>
      </c>
      <c r="M98" s="25">
        <f t="shared" si="18"/>
        <v>-0.39223820179799085</v>
      </c>
    </row>
    <row r="99" spans="1:13">
      <c r="A99" s="5" t="s">
        <v>21</v>
      </c>
      <c r="B99" s="10">
        <f t="shared" si="15"/>
        <v>1.60678738241729</v>
      </c>
      <c r="D99" s="7">
        <v>560.74289999999996</v>
      </c>
      <c r="E99" s="9">
        <f t="shared" si="16"/>
        <v>1.3349196084925814</v>
      </c>
      <c r="F99" s="5">
        <v>98.7</v>
      </c>
      <c r="G99" s="9">
        <f t="shared" si="17"/>
        <v>1.2036585365853658</v>
      </c>
      <c r="I99" s="26">
        <v>1.1499999999999999</v>
      </c>
      <c r="K99" s="24">
        <f>(1-$D$90)*B99+$D$90*(D$86+D$87*I99+D$88*E99)</f>
        <v>1.1864678433970326</v>
      </c>
      <c r="M99" s="25">
        <f t="shared" si="18"/>
        <v>-0.26159001721056485</v>
      </c>
    </row>
    <row r="102" spans="1:13">
      <c r="A102" s="5" t="s">
        <v>106</v>
      </c>
      <c r="B102" s="6" t="s">
        <v>107</v>
      </c>
    </row>
    <row r="103" spans="1:13">
      <c r="B103" s="6" t="s">
        <v>108</v>
      </c>
    </row>
    <row r="104" spans="1:13" ht="15.95" customHeight="1">
      <c r="B104" s="8" t="s">
        <v>109</v>
      </c>
    </row>
  </sheetData>
  <mergeCells count="11">
    <mergeCell ref="D93:E93"/>
    <mergeCell ref="F93:G93"/>
    <mergeCell ref="D71:E71"/>
    <mergeCell ref="F27:G27"/>
    <mergeCell ref="F71:G71"/>
    <mergeCell ref="A3:H3"/>
    <mergeCell ref="D49:E49"/>
    <mergeCell ref="D27:E27"/>
    <mergeCell ref="D5:E5"/>
    <mergeCell ref="F5:G5"/>
    <mergeCell ref="F49:G49"/>
  </mergeCells>
  <hyperlinks>
    <hyperlink ref="B14" r:id="rId1" xr:uid="{00000000-0004-0000-0100-000000000000}"/>
    <hyperlink ref="B15" r:id="rId2" display="https://databank.worldbank.org/source/world-development-indicators/Series/EG.GDP.PUSE.KO.PP.KD" xr:uid="{00000000-0004-0000-0100-000001000000}"/>
    <hyperlink ref="B36" r:id="rId3" xr:uid="{00000000-0004-0000-0100-000002000000}"/>
    <hyperlink ref="B37" r:id="rId4" display="https://databank.worldbank.org/source/world-development-indicators/Series/EG.GDP.PUSE.KO.PP.KD" xr:uid="{00000000-0004-0000-0100-000003000000}"/>
    <hyperlink ref="B58" r:id="rId5" xr:uid="{00000000-0004-0000-0100-000004000000}"/>
    <hyperlink ref="B59" r:id="rId6" display="https://databank.worldbank.org/source/world-development-indicators/Series/EG.GDP.PUSE.KO.PP.KD" xr:uid="{00000000-0004-0000-0100-000005000000}"/>
    <hyperlink ref="B80" r:id="rId7" xr:uid="{00000000-0004-0000-0100-000006000000}"/>
    <hyperlink ref="B81" r:id="rId8" display="https://databank.worldbank.org/source/world-development-indicators/Series/EG.GDP.PUSE.KO.PP.KD" xr:uid="{00000000-0004-0000-0100-000007000000}"/>
    <hyperlink ref="B102" r:id="rId9" xr:uid="{00000000-0004-0000-0100-000008000000}"/>
    <hyperlink ref="B103" r:id="rId10" display="https://databank.worldbank.org/source/world-development-indicators/Series/EG.GDP.PUSE.KO.PP.KD" xr:uid="{00000000-0004-0000-0100-000009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1">
    <pageSetUpPr fitToPage="1"/>
  </sheetPr>
  <dimension ref="A1:V79"/>
  <sheetViews>
    <sheetView topLeftCell="M1" zoomScale="70" zoomScaleNormal="70" workbookViewId="0">
      <pane ySplit="1" topLeftCell="A2" activePane="bottomLeft" state="frozen"/>
      <selection pane="bottomLeft" activeCell="G2" sqref="G2:G72"/>
    </sheetView>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147</v>
      </c>
      <c r="I2" t="s">
        <v>148</v>
      </c>
      <c r="J2" s="11" t="s">
        <v>149</v>
      </c>
      <c r="K2" s="13">
        <f>L2</f>
        <v>2000</v>
      </c>
      <c r="L2" s="13">
        <v>2000</v>
      </c>
      <c r="M2" s="13"/>
      <c r="N2" s="13"/>
      <c r="O2" s="13">
        <v>2201</v>
      </c>
      <c r="P2" s="13"/>
      <c r="Q2" s="13"/>
      <c r="R2" s="13"/>
      <c r="S2" s="13">
        <v>311.7</v>
      </c>
      <c r="T2" s="13"/>
      <c r="U2" s="13"/>
      <c r="V2" s="13"/>
    </row>
    <row r="3" spans="1:22">
      <c r="A3" t="s">
        <v>150</v>
      </c>
      <c r="B3">
        <v>1</v>
      </c>
      <c r="C3" t="s">
        <v>144</v>
      </c>
      <c r="D3">
        <v>3</v>
      </c>
      <c r="E3" t="s">
        <v>145</v>
      </c>
      <c r="F3">
        <v>2</v>
      </c>
      <c r="G3" t="s">
        <v>151</v>
      </c>
      <c r="H3" s="14" t="s">
        <v>147</v>
      </c>
      <c r="I3" t="s">
        <v>152</v>
      </c>
      <c r="J3" s="11" t="s">
        <v>149</v>
      </c>
      <c r="K3" s="13">
        <f>L3</f>
        <v>1800</v>
      </c>
      <c r="L3" s="13">
        <v>1800</v>
      </c>
      <c r="M3" s="13"/>
      <c r="N3" s="13"/>
      <c r="O3" s="13">
        <v>8181</v>
      </c>
      <c r="P3" s="13"/>
      <c r="Q3" s="13"/>
      <c r="R3" s="13"/>
      <c r="S3" s="13">
        <v>555.20000000000005</v>
      </c>
      <c r="T3" s="13"/>
      <c r="U3" s="13"/>
      <c r="V3" s="13"/>
    </row>
    <row r="4" spans="1:22">
      <c r="A4" t="s">
        <v>153</v>
      </c>
      <c r="B4">
        <v>1</v>
      </c>
      <c r="C4" t="s">
        <v>144</v>
      </c>
      <c r="D4">
        <v>3</v>
      </c>
      <c r="E4" t="s">
        <v>145</v>
      </c>
      <c r="F4">
        <v>2</v>
      </c>
      <c r="G4" t="s">
        <v>151</v>
      </c>
      <c r="H4" s="14" t="s">
        <v>147</v>
      </c>
      <c r="I4" t="s">
        <v>154</v>
      </c>
      <c r="J4" s="11" t="s">
        <v>149</v>
      </c>
      <c r="K4" s="13">
        <f>L4</f>
        <v>2000</v>
      </c>
      <c r="L4" s="13">
        <v>2000</v>
      </c>
      <c r="M4" s="13"/>
      <c r="N4" s="13"/>
      <c r="O4" s="13">
        <v>8345</v>
      </c>
      <c r="P4" s="13"/>
      <c r="Q4" s="13"/>
      <c r="R4" s="13"/>
      <c r="S4" s="13">
        <v>557.4</v>
      </c>
      <c r="T4" s="13"/>
      <c r="U4" s="13"/>
      <c r="V4" s="13"/>
    </row>
    <row r="5" spans="1:22">
      <c r="A5" t="s">
        <v>155</v>
      </c>
      <c r="B5">
        <v>1</v>
      </c>
      <c r="C5" t="s">
        <v>144</v>
      </c>
      <c r="D5">
        <v>3</v>
      </c>
      <c r="E5" t="s">
        <v>145</v>
      </c>
      <c r="F5">
        <v>2</v>
      </c>
      <c r="G5" t="s">
        <v>151</v>
      </c>
      <c r="H5" s="14" t="s">
        <v>147</v>
      </c>
      <c r="I5" t="s">
        <v>156</v>
      </c>
      <c r="J5" s="11" t="s">
        <v>157</v>
      </c>
      <c r="K5" s="13">
        <f>M5</f>
        <v>159</v>
      </c>
      <c r="L5" s="13">
        <v>1700</v>
      </c>
      <c r="M5" s="13">
        <v>159</v>
      </c>
      <c r="N5" s="13"/>
      <c r="O5" s="13">
        <v>435</v>
      </c>
      <c r="P5" s="13"/>
      <c r="Q5" s="13"/>
      <c r="R5" s="13"/>
      <c r="S5" s="13">
        <v>27.65</v>
      </c>
      <c r="T5" s="13"/>
      <c r="U5" s="13"/>
      <c r="V5" s="13"/>
    </row>
    <row r="6" spans="1:22">
      <c r="A6" t="s">
        <v>158</v>
      </c>
      <c r="B6">
        <v>1</v>
      </c>
      <c r="C6" t="s">
        <v>144</v>
      </c>
      <c r="D6">
        <v>3</v>
      </c>
      <c r="E6" t="s">
        <v>145</v>
      </c>
      <c r="F6">
        <v>3</v>
      </c>
      <c r="G6" s="19" t="s">
        <v>159</v>
      </c>
      <c r="H6" s="14" t="s">
        <v>147</v>
      </c>
      <c r="I6" t="s">
        <v>160</v>
      </c>
      <c r="J6" s="11" t="s">
        <v>149</v>
      </c>
      <c r="K6" s="13">
        <f t="shared" ref="K6:K15" si="0">L6</f>
        <v>380</v>
      </c>
      <c r="L6" s="13">
        <v>380</v>
      </c>
      <c r="M6" s="13"/>
      <c r="N6" s="13"/>
      <c r="O6" s="13">
        <v>1167</v>
      </c>
      <c r="P6" s="13"/>
      <c r="Q6" s="13"/>
      <c r="R6" s="13"/>
      <c r="S6" s="13">
        <v>191</v>
      </c>
      <c r="T6" s="13"/>
      <c r="U6" s="13"/>
      <c r="V6" s="13"/>
    </row>
    <row r="7" spans="1:22">
      <c r="A7" t="s">
        <v>161</v>
      </c>
      <c r="B7">
        <v>1</v>
      </c>
      <c r="C7" t="s">
        <v>144</v>
      </c>
      <c r="D7">
        <v>3</v>
      </c>
      <c r="E7" t="s">
        <v>145</v>
      </c>
      <c r="F7">
        <v>3</v>
      </c>
      <c r="G7" s="19" t="s">
        <v>159</v>
      </c>
      <c r="H7" s="14" t="s">
        <v>147</v>
      </c>
      <c r="I7" t="s">
        <v>162</v>
      </c>
      <c r="J7" s="11" t="s">
        <v>149</v>
      </c>
      <c r="K7" s="13">
        <f t="shared" si="0"/>
        <v>472</v>
      </c>
      <c r="L7" s="13">
        <v>472</v>
      </c>
      <c r="M7" s="13"/>
      <c r="N7" s="13"/>
      <c r="O7" s="13">
        <v>1731</v>
      </c>
      <c r="P7" s="13"/>
      <c r="Q7" s="13"/>
      <c r="R7" s="13"/>
      <c r="S7" s="13">
        <v>263.3</v>
      </c>
      <c r="T7" s="13"/>
      <c r="U7" s="13"/>
      <c r="V7" s="13"/>
    </row>
    <row r="8" spans="1:22">
      <c r="A8" t="s">
        <v>163</v>
      </c>
      <c r="B8">
        <v>1</v>
      </c>
      <c r="C8" t="s">
        <v>144</v>
      </c>
      <c r="D8">
        <v>3</v>
      </c>
      <c r="E8" t="s">
        <v>145</v>
      </c>
      <c r="F8">
        <v>3</v>
      </c>
      <c r="G8" s="19" t="s">
        <v>159</v>
      </c>
      <c r="H8" s="14" t="s">
        <v>147</v>
      </c>
      <c r="I8" t="s">
        <v>164</v>
      </c>
      <c r="J8" s="11" t="s">
        <v>149</v>
      </c>
      <c r="K8" s="13">
        <f t="shared" si="0"/>
        <v>500</v>
      </c>
      <c r="L8" s="13">
        <v>500</v>
      </c>
      <c r="M8" s="13"/>
      <c r="N8" s="13"/>
      <c r="O8" s="13">
        <v>1414</v>
      </c>
      <c r="P8" s="13"/>
      <c r="Q8" s="13"/>
      <c r="R8" s="13"/>
      <c r="S8" s="13">
        <v>232.2</v>
      </c>
      <c r="T8" s="13"/>
      <c r="U8" s="13"/>
      <c r="V8" s="13"/>
    </row>
    <row r="9" spans="1:22">
      <c r="A9" t="s">
        <v>165</v>
      </c>
      <c r="B9">
        <v>1</v>
      </c>
      <c r="C9" t="s">
        <v>144</v>
      </c>
      <c r="D9">
        <v>3</v>
      </c>
      <c r="E9" t="s">
        <v>145</v>
      </c>
      <c r="F9">
        <v>4</v>
      </c>
      <c r="G9" s="19" t="s">
        <v>166</v>
      </c>
      <c r="H9" s="14" t="s">
        <v>147</v>
      </c>
      <c r="I9" t="s">
        <v>167</v>
      </c>
      <c r="J9" s="11" t="s">
        <v>149</v>
      </c>
      <c r="K9" s="13">
        <f t="shared" si="0"/>
        <v>500</v>
      </c>
      <c r="L9" s="13">
        <v>500</v>
      </c>
      <c r="M9" s="13"/>
      <c r="N9" s="13"/>
      <c r="O9" s="13">
        <v>293.39999999999998</v>
      </c>
      <c r="P9" s="13"/>
      <c r="Q9" s="13"/>
      <c r="R9" s="13"/>
      <c r="S9" s="13">
        <v>46.21</v>
      </c>
      <c r="T9" s="13"/>
      <c r="U9" s="13"/>
      <c r="V9" s="13"/>
    </row>
    <row r="10" spans="1:22" ht="14.1" customHeight="1">
      <c r="A10" t="s">
        <v>168</v>
      </c>
      <c r="B10">
        <v>1</v>
      </c>
      <c r="C10" t="s">
        <v>144</v>
      </c>
      <c r="D10">
        <v>3</v>
      </c>
      <c r="E10" t="s">
        <v>145</v>
      </c>
      <c r="F10">
        <v>4</v>
      </c>
      <c r="G10" s="19" t="s">
        <v>166</v>
      </c>
      <c r="H10" s="14" t="s">
        <v>147</v>
      </c>
      <c r="I10" s="12" t="s">
        <v>169</v>
      </c>
      <c r="J10" s="11" t="s">
        <v>149</v>
      </c>
      <c r="K10" s="13">
        <f t="shared" si="0"/>
        <v>900</v>
      </c>
      <c r="L10" s="13">
        <v>900</v>
      </c>
      <c r="M10" s="13"/>
      <c r="N10" s="13"/>
      <c r="O10" s="13">
        <v>497.9</v>
      </c>
      <c r="P10" s="13"/>
      <c r="Q10" s="13"/>
      <c r="R10" s="13"/>
      <c r="S10" s="13">
        <v>81.55</v>
      </c>
      <c r="T10" s="13"/>
      <c r="U10" s="13"/>
      <c r="V10" s="13"/>
    </row>
    <row r="11" spans="1:22" ht="14.1" customHeight="1">
      <c r="A11" t="s">
        <v>170</v>
      </c>
      <c r="B11">
        <v>1</v>
      </c>
      <c r="C11" t="s">
        <v>144</v>
      </c>
      <c r="D11">
        <v>3</v>
      </c>
      <c r="E11" t="s">
        <v>145</v>
      </c>
      <c r="F11">
        <v>4</v>
      </c>
      <c r="G11" s="19" t="s">
        <v>166</v>
      </c>
      <c r="H11" s="14" t="s">
        <v>147</v>
      </c>
      <c r="I11" s="12" t="s">
        <v>171</v>
      </c>
      <c r="J11" s="11" t="s">
        <v>149</v>
      </c>
      <c r="K11" s="13">
        <f t="shared" si="0"/>
        <v>1601</v>
      </c>
      <c r="L11" s="13">
        <v>1601</v>
      </c>
      <c r="M11" s="13"/>
      <c r="N11" s="13"/>
      <c r="O11" s="13">
        <v>3999</v>
      </c>
      <c r="P11" s="13"/>
      <c r="Q11" s="13"/>
      <c r="R11" s="13"/>
      <c r="S11" s="13">
        <v>422.2</v>
      </c>
      <c r="T11" s="13"/>
      <c r="U11" s="13"/>
      <c r="V11" s="13"/>
    </row>
    <row r="12" spans="1:22" ht="14.1" customHeight="1">
      <c r="A12" t="s">
        <v>172</v>
      </c>
      <c r="B12">
        <v>1</v>
      </c>
      <c r="C12" t="s">
        <v>144</v>
      </c>
      <c r="D12">
        <v>3</v>
      </c>
      <c r="E12" t="s">
        <v>145</v>
      </c>
      <c r="F12">
        <v>4</v>
      </c>
      <c r="G12" s="19" t="s">
        <v>166</v>
      </c>
      <c r="H12" s="14" t="s">
        <v>147</v>
      </c>
      <c r="I12" s="12" t="s">
        <v>173</v>
      </c>
      <c r="J12" s="11" t="s">
        <v>149</v>
      </c>
      <c r="K12" s="13">
        <f t="shared" si="0"/>
        <v>501</v>
      </c>
      <c r="L12" s="13">
        <v>501</v>
      </c>
      <c r="M12" s="13"/>
      <c r="N12" s="13"/>
      <c r="O12" s="13">
        <v>1717</v>
      </c>
      <c r="P12" s="13"/>
      <c r="Q12" s="13"/>
      <c r="R12" s="13"/>
      <c r="S12" s="13">
        <v>191.5</v>
      </c>
      <c r="T12" s="13"/>
      <c r="U12" s="13"/>
      <c r="V12" s="13"/>
    </row>
    <row r="13" spans="1:22" ht="14.1" customHeight="1">
      <c r="A13" t="s">
        <v>174</v>
      </c>
      <c r="B13">
        <v>1</v>
      </c>
      <c r="C13" t="s">
        <v>144</v>
      </c>
      <c r="D13">
        <v>3</v>
      </c>
      <c r="E13" t="s">
        <v>145</v>
      </c>
      <c r="F13">
        <v>4</v>
      </c>
      <c r="G13" s="19" t="s">
        <v>166</v>
      </c>
      <c r="H13" s="14" t="s">
        <v>147</v>
      </c>
      <c r="I13" s="12" t="s">
        <v>175</v>
      </c>
      <c r="J13" s="11" t="s">
        <v>149</v>
      </c>
      <c r="K13" s="13">
        <f t="shared" si="0"/>
        <v>701</v>
      </c>
      <c r="L13" s="13">
        <v>701</v>
      </c>
      <c r="M13" s="13"/>
      <c r="N13" s="13"/>
      <c r="O13" s="13">
        <v>2114</v>
      </c>
      <c r="P13" s="13"/>
      <c r="Q13" s="13"/>
      <c r="R13" s="13"/>
      <c r="S13" s="13">
        <v>235.2</v>
      </c>
      <c r="T13" s="13"/>
      <c r="U13" s="13"/>
      <c r="V13" s="13"/>
    </row>
    <row r="14" spans="1:22" ht="14.1" customHeight="1">
      <c r="A14" t="s">
        <v>176</v>
      </c>
      <c r="B14">
        <v>1</v>
      </c>
      <c r="C14" t="s">
        <v>144</v>
      </c>
      <c r="D14">
        <v>3</v>
      </c>
      <c r="E14" t="s">
        <v>145</v>
      </c>
      <c r="F14">
        <v>4</v>
      </c>
      <c r="G14" s="19" t="s">
        <v>166</v>
      </c>
      <c r="H14" s="14" t="s">
        <v>147</v>
      </c>
      <c r="I14" s="12" t="s">
        <v>177</v>
      </c>
      <c r="J14" s="11" t="s">
        <v>149</v>
      </c>
      <c r="K14" s="13">
        <f t="shared" si="0"/>
        <v>1400</v>
      </c>
      <c r="L14" s="13">
        <v>1400</v>
      </c>
      <c r="M14" s="13"/>
      <c r="N14" s="13"/>
      <c r="O14" s="13">
        <v>1955</v>
      </c>
      <c r="P14" s="13"/>
      <c r="Q14" s="13"/>
      <c r="R14" s="13"/>
      <c r="S14" s="13">
        <v>357</v>
      </c>
      <c r="T14" s="13"/>
      <c r="U14" s="13"/>
      <c r="V14" s="13"/>
    </row>
    <row r="15" spans="1:22">
      <c r="A15" t="s">
        <v>178</v>
      </c>
      <c r="B15">
        <v>1</v>
      </c>
      <c r="C15" t="s">
        <v>144</v>
      </c>
      <c r="D15">
        <v>3</v>
      </c>
      <c r="E15" t="s">
        <v>145</v>
      </c>
      <c r="F15">
        <v>5</v>
      </c>
      <c r="G15" s="19" t="s">
        <v>179</v>
      </c>
      <c r="H15" s="14" t="s">
        <v>147</v>
      </c>
      <c r="I15" t="s">
        <v>180</v>
      </c>
      <c r="J15" s="11" t="s">
        <v>149</v>
      </c>
      <c r="K15" s="13">
        <f t="shared" si="0"/>
        <v>2000</v>
      </c>
      <c r="L15" s="13">
        <v>2000</v>
      </c>
      <c r="M15" s="13"/>
      <c r="N15" s="13"/>
      <c r="O15" s="13">
        <v>1130</v>
      </c>
      <c r="P15" s="13"/>
      <c r="Q15" s="13"/>
      <c r="R15" s="13"/>
      <c r="S15" s="13">
        <v>229</v>
      </c>
      <c r="T15" s="13"/>
      <c r="U15" s="13"/>
      <c r="V15" s="13"/>
    </row>
    <row r="16" spans="1:22">
      <c r="A16" t="s">
        <v>181</v>
      </c>
      <c r="B16">
        <v>1</v>
      </c>
      <c r="C16" t="s">
        <v>144</v>
      </c>
      <c r="D16">
        <v>3</v>
      </c>
      <c r="E16" t="s">
        <v>145</v>
      </c>
      <c r="F16">
        <v>5</v>
      </c>
      <c r="G16" s="19" t="s">
        <v>179</v>
      </c>
      <c r="H16" s="14" t="s">
        <v>147</v>
      </c>
      <c r="I16" t="s">
        <v>182</v>
      </c>
      <c r="J16" s="11" t="s">
        <v>157</v>
      </c>
      <c r="K16" s="13">
        <f t="shared" ref="K16:K24" si="1">M16</f>
        <v>504</v>
      </c>
      <c r="L16" s="13">
        <f>M16*5</f>
        <v>2520</v>
      </c>
      <c r="M16" s="13">
        <v>504</v>
      </c>
      <c r="N16" s="13"/>
      <c r="O16" s="13">
        <v>494.3</v>
      </c>
      <c r="P16" s="13"/>
      <c r="Q16" s="13"/>
      <c r="R16" s="13"/>
      <c r="S16" s="13">
        <v>85.07</v>
      </c>
      <c r="T16" s="13"/>
      <c r="U16" s="13"/>
      <c r="V16" s="13"/>
    </row>
    <row r="17" spans="1:22">
      <c r="A17" t="s">
        <v>183</v>
      </c>
      <c r="B17">
        <v>1</v>
      </c>
      <c r="C17" t="s">
        <v>144</v>
      </c>
      <c r="D17">
        <v>3</v>
      </c>
      <c r="E17" t="s">
        <v>145</v>
      </c>
      <c r="F17">
        <v>5</v>
      </c>
      <c r="G17" s="19" t="s">
        <v>179</v>
      </c>
      <c r="H17" s="14" t="s">
        <v>147</v>
      </c>
      <c r="I17" t="s">
        <v>184</v>
      </c>
      <c r="J17" s="11" t="s">
        <v>157</v>
      </c>
      <c r="K17" s="13">
        <f t="shared" si="1"/>
        <v>291.3</v>
      </c>
      <c r="L17" s="13">
        <f>M17/12*100</f>
        <v>2427.5</v>
      </c>
      <c r="M17" s="13">
        <v>291.3</v>
      </c>
      <c r="N17" s="13"/>
      <c r="O17" s="13">
        <v>190.7</v>
      </c>
      <c r="P17" s="13"/>
      <c r="Q17" s="13"/>
      <c r="R17" s="13"/>
      <c r="S17" s="13">
        <v>36.56</v>
      </c>
      <c r="T17" s="13"/>
      <c r="U17" s="13"/>
      <c r="V17" s="13"/>
    </row>
    <row r="18" spans="1:22" ht="14.1" customHeight="1">
      <c r="A18" t="s">
        <v>185</v>
      </c>
      <c r="B18">
        <v>1</v>
      </c>
      <c r="C18" t="s">
        <v>144</v>
      </c>
      <c r="D18">
        <v>3</v>
      </c>
      <c r="E18" t="s">
        <v>145</v>
      </c>
      <c r="F18">
        <v>8</v>
      </c>
      <c r="G18" t="s">
        <v>186</v>
      </c>
      <c r="H18" s="14" t="s">
        <v>147</v>
      </c>
      <c r="I18" s="12" t="s">
        <v>187</v>
      </c>
      <c r="J18" s="11" t="s">
        <v>157</v>
      </c>
      <c r="K18" s="13">
        <f t="shared" si="1"/>
        <v>52</v>
      </c>
      <c r="L18" s="13"/>
      <c r="M18" s="13">
        <v>52</v>
      </c>
      <c r="N18" s="13"/>
      <c r="O18" s="13">
        <v>197.2</v>
      </c>
      <c r="P18" s="13"/>
      <c r="Q18" s="13"/>
      <c r="R18" s="13"/>
      <c r="S18" s="13">
        <v>15.05</v>
      </c>
      <c r="T18" s="13"/>
      <c r="U18" s="13"/>
      <c r="V18" s="13"/>
    </row>
    <row r="19" spans="1:22" ht="14.1" customHeight="1">
      <c r="A19" t="s">
        <v>188</v>
      </c>
      <c r="B19">
        <v>1</v>
      </c>
      <c r="C19" t="s">
        <v>144</v>
      </c>
      <c r="D19">
        <v>3</v>
      </c>
      <c r="E19" t="s">
        <v>145</v>
      </c>
      <c r="F19">
        <v>8</v>
      </c>
      <c r="G19" t="s">
        <v>186</v>
      </c>
      <c r="H19" s="14" t="s">
        <v>147</v>
      </c>
      <c r="I19" s="12" t="s">
        <v>189</v>
      </c>
      <c r="J19" s="11" t="s">
        <v>157</v>
      </c>
      <c r="K19" s="13">
        <f t="shared" si="1"/>
        <v>78</v>
      </c>
      <c r="L19" s="13"/>
      <c r="M19" s="13">
        <v>78</v>
      </c>
      <c r="N19" s="13"/>
      <c r="O19" s="13">
        <v>390.9</v>
      </c>
      <c r="P19" s="13"/>
      <c r="Q19" s="13"/>
      <c r="R19" s="13"/>
      <c r="S19" s="13">
        <v>29.83</v>
      </c>
      <c r="T19" s="13"/>
      <c r="U19" s="13"/>
      <c r="V19" s="13"/>
    </row>
    <row r="20" spans="1:22" ht="14.1" customHeight="1">
      <c r="A20" t="s">
        <v>190</v>
      </c>
      <c r="B20">
        <v>1</v>
      </c>
      <c r="C20" t="s">
        <v>144</v>
      </c>
      <c r="D20">
        <v>3</v>
      </c>
      <c r="E20" t="s">
        <v>145</v>
      </c>
      <c r="F20">
        <v>8</v>
      </c>
      <c r="G20" t="s">
        <v>186</v>
      </c>
      <c r="H20" s="14" t="s">
        <v>147</v>
      </c>
      <c r="I20" s="12" t="s">
        <v>191</v>
      </c>
      <c r="J20" s="11" t="s">
        <v>157</v>
      </c>
      <c r="K20" s="13">
        <f t="shared" si="1"/>
        <v>52</v>
      </c>
      <c r="L20" s="13"/>
      <c r="M20" s="13">
        <v>52</v>
      </c>
      <c r="N20" s="13"/>
      <c r="O20" s="13">
        <v>381.7</v>
      </c>
      <c r="P20" s="13"/>
      <c r="Q20" s="13"/>
      <c r="R20" s="13"/>
      <c r="S20" s="13">
        <v>29.13</v>
      </c>
      <c r="T20" s="13"/>
      <c r="U20" s="13"/>
      <c r="V20" s="13"/>
    </row>
    <row r="21" spans="1:22" ht="14.1" customHeight="1">
      <c r="A21" t="s">
        <v>192</v>
      </c>
      <c r="B21">
        <v>1</v>
      </c>
      <c r="C21" t="s">
        <v>144</v>
      </c>
      <c r="D21">
        <v>3</v>
      </c>
      <c r="E21" t="s">
        <v>145</v>
      </c>
      <c r="F21">
        <v>8</v>
      </c>
      <c r="G21" t="s">
        <v>186</v>
      </c>
      <c r="H21" s="14" t="s">
        <v>147</v>
      </c>
      <c r="I21" s="12" t="s">
        <v>193</v>
      </c>
      <c r="J21" s="11" t="s">
        <v>157</v>
      </c>
      <c r="K21" s="13">
        <f t="shared" si="1"/>
        <v>104</v>
      </c>
      <c r="L21" s="13"/>
      <c r="M21" s="13">
        <v>104</v>
      </c>
      <c r="N21" s="13"/>
      <c r="O21" s="13">
        <v>199.2</v>
      </c>
      <c r="P21" s="13"/>
      <c r="Q21" s="13"/>
      <c r="R21" s="13"/>
      <c r="S21" s="13">
        <v>15.19</v>
      </c>
      <c r="T21" s="13"/>
      <c r="U21" s="13"/>
      <c r="V21" s="13"/>
    </row>
    <row r="22" spans="1:22" ht="14.1" customHeight="1">
      <c r="A22" t="s">
        <v>194</v>
      </c>
      <c r="B22">
        <v>1</v>
      </c>
      <c r="C22" t="s">
        <v>144</v>
      </c>
      <c r="D22">
        <v>3</v>
      </c>
      <c r="E22" t="s">
        <v>145</v>
      </c>
      <c r="F22">
        <v>8</v>
      </c>
      <c r="G22" t="s">
        <v>186</v>
      </c>
      <c r="H22" s="14" t="s">
        <v>147</v>
      </c>
      <c r="I22" s="12" t="s">
        <v>195</v>
      </c>
      <c r="J22" s="11" t="s">
        <v>157</v>
      </c>
      <c r="K22" s="13">
        <f t="shared" si="1"/>
        <v>52</v>
      </c>
      <c r="L22" s="13"/>
      <c r="M22" s="13">
        <v>52</v>
      </c>
      <c r="N22" s="13"/>
      <c r="O22" s="13">
        <v>180.8</v>
      </c>
      <c r="P22" s="13"/>
      <c r="Q22" s="13"/>
      <c r="R22" s="13"/>
      <c r="S22" s="13">
        <v>13.8</v>
      </c>
      <c r="T22" s="13"/>
      <c r="U22" s="13"/>
      <c r="V22" s="13"/>
    </row>
    <row r="23" spans="1:22">
      <c r="A23" t="s">
        <v>196</v>
      </c>
      <c r="B23">
        <v>1</v>
      </c>
      <c r="C23" t="s">
        <v>144</v>
      </c>
      <c r="D23">
        <v>3</v>
      </c>
      <c r="E23" t="s">
        <v>145</v>
      </c>
      <c r="F23">
        <v>10</v>
      </c>
      <c r="G23" t="s">
        <v>197</v>
      </c>
      <c r="H23" s="14" t="s">
        <v>147</v>
      </c>
      <c r="I23" t="s">
        <v>198</v>
      </c>
      <c r="J23" s="11" t="s">
        <v>157</v>
      </c>
      <c r="K23" s="13">
        <f t="shared" si="1"/>
        <v>45</v>
      </c>
      <c r="L23" s="13"/>
      <c r="M23" s="13">
        <v>45</v>
      </c>
      <c r="N23" s="13"/>
      <c r="O23" s="13">
        <v>248.5</v>
      </c>
      <c r="P23" s="13"/>
      <c r="Q23" s="13"/>
      <c r="R23" s="13"/>
      <c r="S23" s="13">
        <v>16.59</v>
      </c>
      <c r="T23" s="13"/>
      <c r="U23" s="13"/>
      <c r="V23" s="13"/>
    </row>
    <row r="24" spans="1:22">
      <c r="A24" t="s">
        <v>199</v>
      </c>
      <c r="B24">
        <v>1</v>
      </c>
      <c r="C24" t="s">
        <v>144</v>
      </c>
      <c r="D24">
        <v>3</v>
      </c>
      <c r="E24" t="s">
        <v>145</v>
      </c>
      <c r="F24">
        <v>11</v>
      </c>
      <c r="G24" s="19" t="s">
        <v>200</v>
      </c>
      <c r="H24" s="14" t="s">
        <v>147</v>
      </c>
      <c r="I24" t="s">
        <v>201</v>
      </c>
      <c r="J24" s="11" t="s">
        <v>157</v>
      </c>
      <c r="K24" s="13">
        <f t="shared" si="1"/>
        <v>42</v>
      </c>
      <c r="L24" s="13"/>
      <c r="M24" s="13">
        <v>42</v>
      </c>
      <c r="N24" s="13"/>
      <c r="O24" s="13">
        <v>96.85</v>
      </c>
      <c r="P24" s="13"/>
      <c r="Q24" s="13"/>
      <c r="R24" s="13"/>
      <c r="S24" s="13">
        <v>12.98</v>
      </c>
      <c r="T24" s="13"/>
      <c r="U24" s="13"/>
      <c r="V24" s="13"/>
    </row>
    <row r="25" spans="1:22" ht="14.1" customHeight="1">
      <c r="A25" t="s">
        <v>202</v>
      </c>
      <c r="B25">
        <v>1</v>
      </c>
      <c r="C25" t="s">
        <v>144</v>
      </c>
      <c r="D25">
        <v>3</v>
      </c>
      <c r="E25" t="s">
        <v>145</v>
      </c>
      <c r="F25">
        <v>12</v>
      </c>
      <c r="G25" s="19" t="s">
        <v>203</v>
      </c>
      <c r="H25" s="14" t="s">
        <v>147</v>
      </c>
      <c r="I25" s="12" t="s">
        <v>204</v>
      </c>
      <c r="J25" s="11" t="s">
        <v>157</v>
      </c>
      <c r="K25" s="13"/>
      <c r="L25" s="13">
        <v>1300</v>
      </c>
      <c r="M25" s="13"/>
      <c r="N25" s="13"/>
      <c r="O25" s="13">
        <v>77.319999999999993</v>
      </c>
      <c r="P25" s="13"/>
      <c r="Q25" s="13"/>
      <c r="R25" s="13"/>
      <c r="S25" s="13">
        <v>7.3129999999999997</v>
      </c>
      <c r="T25" s="13"/>
      <c r="U25" s="13"/>
      <c r="V25" s="13"/>
    </row>
    <row r="26" spans="1:22" ht="14.1" customHeight="1">
      <c r="A26" t="s">
        <v>205</v>
      </c>
      <c r="B26">
        <v>1</v>
      </c>
      <c r="C26" t="s">
        <v>144</v>
      </c>
      <c r="D26">
        <v>3</v>
      </c>
      <c r="E26" t="s">
        <v>145</v>
      </c>
      <c r="F26">
        <v>13</v>
      </c>
      <c r="G26" t="s">
        <v>206</v>
      </c>
      <c r="H26" s="14" t="s">
        <v>147</v>
      </c>
      <c r="I26" s="12" t="s">
        <v>207</v>
      </c>
      <c r="J26" s="11" t="s">
        <v>157</v>
      </c>
      <c r="K26" s="13">
        <v>10</v>
      </c>
      <c r="L26" s="13"/>
      <c r="M26" s="13">
        <v>10</v>
      </c>
      <c r="N26" s="13"/>
      <c r="O26" s="13">
        <v>33.68</v>
      </c>
      <c r="P26" s="13"/>
      <c r="Q26" s="13"/>
      <c r="R26" s="13"/>
      <c r="S26" s="13">
        <v>1.708</v>
      </c>
      <c r="T26" s="13"/>
      <c r="U26" s="13"/>
      <c r="V26" s="13"/>
    </row>
    <row r="27" spans="1:22" ht="14.1" customHeight="1">
      <c r="A27" t="s">
        <v>208</v>
      </c>
      <c r="B27">
        <v>1</v>
      </c>
      <c r="C27" t="s">
        <v>144</v>
      </c>
      <c r="D27">
        <v>3</v>
      </c>
      <c r="E27" t="s">
        <v>145</v>
      </c>
      <c r="F27">
        <v>13</v>
      </c>
      <c r="G27" t="s">
        <v>206</v>
      </c>
      <c r="H27" s="14" t="s">
        <v>147</v>
      </c>
      <c r="I27" s="12" t="s">
        <v>209</v>
      </c>
      <c r="J27" s="11" t="s">
        <v>157</v>
      </c>
      <c r="K27" s="13">
        <v>10</v>
      </c>
      <c r="L27" s="13"/>
      <c r="M27" s="13">
        <v>10</v>
      </c>
      <c r="N27" s="13"/>
      <c r="O27" s="13">
        <v>35.229999999999997</v>
      </c>
      <c r="P27" s="13"/>
      <c r="Q27" s="13"/>
      <c r="R27" s="13"/>
      <c r="S27" s="13">
        <v>1.8169999999999999</v>
      </c>
      <c r="T27" s="13"/>
      <c r="U27" s="13"/>
      <c r="V27" s="13"/>
    </row>
    <row r="28" spans="1:22" ht="14.1" customHeight="1">
      <c r="A28" t="s">
        <v>210</v>
      </c>
      <c r="B28">
        <v>1</v>
      </c>
      <c r="C28" t="s">
        <v>144</v>
      </c>
      <c r="D28">
        <v>3</v>
      </c>
      <c r="E28" t="s">
        <v>145</v>
      </c>
      <c r="F28">
        <v>13</v>
      </c>
      <c r="G28" t="s">
        <v>206</v>
      </c>
      <c r="H28" s="14" t="s">
        <v>147</v>
      </c>
      <c r="I28" s="12" t="s">
        <v>211</v>
      </c>
      <c r="J28" s="11" t="s">
        <v>157</v>
      </c>
      <c r="K28" s="13">
        <v>10</v>
      </c>
      <c r="L28" s="13"/>
      <c r="M28" s="13">
        <v>10</v>
      </c>
      <c r="N28" s="13"/>
      <c r="O28" s="13">
        <v>48.42</v>
      </c>
      <c r="P28" s="13"/>
      <c r="Q28" s="13"/>
      <c r="R28" s="13"/>
      <c r="S28" s="13">
        <v>3.2589999999999999</v>
      </c>
      <c r="T28" s="13"/>
      <c r="U28" s="13"/>
      <c r="V28" s="13"/>
    </row>
    <row r="29" spans="1:22" ht="14.1" customHeight="1">
      <c r="A29" t="s">
        <v>212</v>
      </c>
      <c r="B29">
        <v>1</v>
      </c>
      <c r="C29" t="s">
        <v>144</v>
      </c>
      <c r="D29">
        <v>3</v>
      </c>
      <c r="E29" t="s">
        <v>145</v>
      </c>
      <c r="F29">
        <v>17</v>
      </c>
      <c r="G29" t="s">
        <v>213</v>
      </c>
      <c r="H29" s="14" t="s">
        <v>147</v>
      </c>
      <c r="I29" s="12" t="s">
        <v>214</v>
      </c>
      <c r="J29" s="11" t="s">
        <v>149</v>
      </c>
      <c r="K29" s="13">
        <f t="shared" ref="K29:K35" si="2">L29</f>
        <v>1200</v>
      </c>
      <c r="L29" s="13">
        <v>1200</v>
      </c>
      <c r="M29" s="13"/>
      <c r="N29" s="13"/>
      <c r="O29" s="13">
        <v>112.2</v>
      </c>
      <c r="P29" s="13"/>
      <c r="Q29" s="13"/>
      <c r="R29" s="13"/>
      <c r="S29" s="13">
        <v>98.1</v>
      </c>
      <c r="T29" s="13"/>
      <c r="U29" s="13"/>
      <c r="V29" s="13"/>
    </row>
    <row r="30" spans="1:22" ht="14.1" customHeight="1">
      <c r="A30" t="s">
        <v>215</v>
      </c>
      <c r="B30">
        <v>1</v>
      </c>
      <c r="C30" t="s">
        <v>144</v>
      </c>
      <c r="D30">
        <v>3</v>
      </c>
      <c r="E30" t="s">
        <v>145</v>
      </c>
      <c r="F30">
        <v>17</v>
      </c>
      <c r="G30" t="s">
        <v>213</v>
      </c>
      <c r="H30" s="14" t="s">
        <v>147</v>
      </c>
      <c r="I30" s="12" t="s">
        <v>216</v>
      </c>
      <c r="J30" s="11" t="s">
        <v>149</v>
      </c>
      <c r="K30" s="13">
        <f t="shared" si="2"/>
        <v>2000</v>
      </c>
      <c r="L30" s="13">
        <v>2000</v>
      </c>
      <c r="M30" s="13"/>
      <c r="N30" s="13"/>
      <c r="O30" s="13">
        <v>124.5</v>
      </c>
      <c r="P30" s="13"/>
      <c r="Q30" s="13"/>
      <c r="R30" s="13"/>
      <c r="S30" s="13">
        <v>9.9610000000000003</v>
      </c>
      <c r="T30" s="13"/>
      <c r="U30" s="13"/>
      <c r="V30" s="13"/>
    </row>
    <row r="31" spans="1:22">
      <c r="A31" t="s">
        <v>217</v>
      </c>
      <c r="B31">
        <v>1</v>
      </c>
      <c r="C31" t="s">
        <v>144</v>
      </c>
      <c r="D31">
        <v>4</v>
      </c>
      <c r="E31" t="s">
        <v>218</v>
      </c>
      <c r="F31">
        <v>1</v>
      </c>
      <c r="G31" s="19" t="s">
        <v>219</v>
      </c>
      <c r="H31" s="14" t="s">
        <v>147</v>
      </c>
      <c r="I31" t="s">
        <v>220</v>
      </c>
      <c r="J31" s="11" t="s">
        <v>149</v>
      </c>
      <c r="K31" s="13">
        <f t="shared" si="2"/>
        <v>2297</v>
      </c>
      <c r="L31" s="13">
        <v>2297</v>
      </c>
      <c r="M31" s="13"/>
      <c r="N31" s="13"/>
      <c r="O31" s="13">
        <v>699.9</v>
      </c>
      <c r="P31" s="13"/>
      <c r="Q31" s="13"/>
      <c r="R31" s="13"/>
      <c r="S31" s="13">
        <v>200.1</v>
      </c>
      <c r="T31" s="13"/>
      <c r="U31" s="13"/>
      <c r="V31" s="13"/>
    </row>
    <row r="32" spans="1:22" ht="14.1" customHeight="1">
      <c r="A32" t="s">
        <v>221</v>
      </c>
      <c r="B32">
        <v>1</v>
      </c>
      <c r="C32" t="s">
        <v>144</v>
      </c>
      <c r="D32">
        <v>4</v>
      </c>
      <c r="E32" t="s">
        <v>218</v>
      </c>
      <c r="F32">
        <v>1</v>
      </c>
      <c r="G32" s="19" t="s">
        <v>219</v>
      </c>
      <c r="H32" s="14" t="s">
        <v>147</v>
      </c>
      <c r="I32" s="12" t="s">
        <v>222</v>
      </c>
      <c r="J32" s="11" t="s">
        <v>149</v>
      </c>
      <c r="K32" s="13">
        <f t="shared" si="2"/>
        <v>2300</v>
      </c>
      <c r="L32" s="13">
        <v>2300</v>
      </c>
      <c r="M32" s="13"/>
      <c r="N32" s="13"/>
      <c r="O32" s="13">
        <v>764.7</v>
      </c>
      <c r="P32" s="13"/>
      <c r="Q32" s="13"/>
      <c r="R32" s="13"/>
      <c r="S32" s="13">
        <v>221.7</v>
      </c>
      <c r="T32" s="13"/>
      <c r="U32" s="13"/>
      <c r="V32" s="13"/>
    </row>
    <row r="33" spans="1:22">
      <c r="A33" t="s">
        <v>223</v>
      </c>
      <c r="B33">
        <v>1</v>
      </c>
      <c r="C33" t="s">
        <v>144</v>
      </c>
      <c r="D33">
        <v>4</v>
      </c>
      <c r="E33" t="s">
        <v>218</v>
      </c>
      <c r="F33">
        <v>1</v>
      </c>
      <c r="G33" s="19" t="s">
        <v>219</v>
      </c>
      <c r="H33" s="14" t="s">
        <v>147</v>
      </c>
      <c r="I33" t="s">
        <v>224</v>
      </c>
      <c r="J33" s="11" t="s">
        <v>149</v>
      </c>
      <c r="K33" s="13">
        <f t="shared" si="2"/>
        <v>2306</v>
      </c>
      <c r="L33" s="13">
        <v>2306</v>
      </c>
      <c r="M33" s="13"/>
      <c r="N33" s="13"/>
      <c r="O33" s="13">
        <v>873.3</v>
      </c>
      <c r="P33" s="13"/>
      <c r="Q33" s="13"/>
      <c r="R33" s="13"/>
      <c r="S33" s="13">
        <v>257.7</v>
      </c>
      <c r="T33" s="13"/>
      <c r="U33" s="13"/>
      <c r="V33" s="13"/>
    </row>
    <row r="34" spans="1:22">
      <c r="A34" t="s">
        <v>225</v>
      </c>
      <c r="B34">
        <v>1</v>
      </c>
      <c r="C34" t="s">
        <v>144</v>
      </c>
      <c r="D34">
        <v>4</v>
      </c>
      <c r="E34" t="s">
        <v>218</v>
      </c>
      <c r="F34">
        <v>1</v>
      </c>
      <c r="G34" s="19" t="s">
        <v>219</v>
      </c>
      <c r="H34" s="14" t="s">
        <v>147</v>
      </c>
      <c r="I34" t="s">
        <v>226</v>
      </c>
      <c r="J34" s="11" t="s">
        <v>149</v>
      </c>
      <c r="K34" s="13">
        <f t="shared" si="2"/>
        <v>2316.6</v>
      </c>
      <c r="L34" s="13">
        <v>2316.6</v>
      </c>
      <c r="M34" s="13"/>
      <c r="N34" s="13"/>
      <c r="O34" s="13">
        <v>1076</v>
      </c>
      <c r="P34" s="13"/>
      <c r="Q34" s="13"/>
      <c r="R34" s="13"/>
      <c r="S34" s="13">
        <v>325.39999999999998</v>
      </c>
      <c r="T34" s="13"/>
      <c r="U34" s="13"/>
      <c r="V34" s="13"/>
    </row>
    <row r="35" spans="1:22" ht="14.1" customHeight="1">
      <c r="A35" t="s">
        <v>227</v>
      </c>
      <c r="B35">
        <v>1</v>
      </c>
      <c r="C35" t="s">
        <v>144</v>
      </c>
      <c r="D35">
        <v>4</v>
      </c>
      <c r="E35" t="s">
        <v>218</v>
      </c>
      <c r="F35">
        <v>2</v>
      </c>
      <c r="G35" s="19" t="s">
        <v>228</v>
      </c>
      <c r="H35" s="14" t="s">
        <v>147</v>
      </c>
      <c r="I35" s="12" t="s">
        <v>229</v>
      </c>
      <c r="J35" s="11" t="s">
        <v>149</v>
      </c>
      <c r="K35" s="13">
        <f t="shared" si="2"/>
        <v>2000</v>
      </c>
      <c r="L35" s="13">
        <v>2000</v>
      </c>
      <c r="M35" s="13"/>
      <c r="N35" s="13"/>
      <c r="O35" s="13">
        <v>1115</v>
      </c>
      <c r="P35" s="13"/>
      <c r="Q35" s="13"/>
      <c r="R35" s="13"/>
      <c r="S35" s="13">
        <v>314.7</v>
      </c>
      <c r="T35" s="13"/>
      <c r="U35" s="13"/>
      <c r="V35" s="13"/>
    </row>
    <row r="36" spans="1:22" ht="14.1" customHeight="1">
      <c r="A36" t="s">
        <v>230</v>
      </c>
      <c r="B36">
        <v>1</v>
      </c>
      <c r="C36" t="s">
        <v>144</v>
      </c>
      <c r="D36">
        <v>4</v>
      </c>
      <c r="E36" t="s">
        <v>218</v>
      </c>
      <c r="F36">
        <v>3</v>
      </c>
      <c r="G36" s="19" t="s">
        <v>231</v>
      </c>
      <c r="H36" s="14" t="s">
        <v>147</v>
      </c>
      <c r="I36" s="12" t="s">
        <v>232</v>
      </c>
      <c r="J36" s="11" t="s">
        <v>233</v>
      </c>
      <c r="K36" s="13">
        <v>1</v>
      </c>
      <c r="L36" s="13">
        <v>2400</v>
      </c>
      <c r="M36" s="13"/>
      <c r="N36" s="13"/>
      <c r="O36" s="13">
        <v>1.194</v>
      </c>
      <c r="P36" s="13"/>
      <c r="Q36" s="13"/>
      <c r="R36" s="13"/>
      <c r="S36" s="13">
        <v>0.185</v>
      </c>
      <c r="T36" s="13"/>
      <c r="U36" s="13"/>
      <c r="V36" s="13"/>
    </row>
    <row r="37" spans="1:22">
      <c r="A37" t="s">
        <v>234</v>
      </c>
      <c r="B37">
        <v>1</v>
      </c>
      <c r="C37" t="s">
        <v>144</v>
      </c>
      <c r="D37">
        <v>4</v>
      </c>
      <c r="E37" t="s">
        <v>218</v>
      </c>
      <c r="F37">
        <v>4</v>
      </c>
      <c r="G37" s="19" t="s">
        <v>235</v>
      </c>
      <c r="H37" s="14" t="s">
        <v>147</v>
      </c>
      <c r="I37" t="s">
        <v>236</v>
      </c>
      <c r="J37" s="11" t="s">
        <v>149</v>
      </c>
      <c r="K37" s="13">
        <f t="shared" ref="K37:K52" si="3">L37</f>
        <v>1800</v>
      </c>
      <c r="L37" s="13">
        <v>1800</v>
      </c>
      <c r="M37" s="13"/>
      <c r="N37" s="13"/>
      <c r="O37" s="13">
        <v>2548</v>
      </c>
      <c r="P37" s="13"/>
      <c r="Q37" s="13"/>
      <c r="R37" s="13"/>
      <c r="S37" s="13">
        <v>395.2</v>
      </c>
      <c r="T37" s="13"/>
      <c r="U37" s="13"/>
      <c r="V37" s="13"/>
    </row>
    <row r="38" spans="1:22">
      <c r="A38" t="s">
        <v>237</v>
      </c>
      <c r="B38">
        <v>1</v>
      </c>
      <c r="C38" t="s">
        <v>144</v>
      </c>
      <c r="D38">
        <v>4</v>
      </c>
      <c r="E38" t="s">
        <v>218</v>
      </c>
      <c r="F38">
        <v>4</v>
      </c>
      <c r="G38" s="19" t="s">
        <v>235</v>
      </c>
      <c r="H38" s="14" t="s">
        <v>147</v>
      </c>
      <c r="I38" t="s">
        <v>238</v>
      </c>
      <c r="J38" s="11" t="s">
        <v>149</v>
      </c>
      <c r="K38" s="13">
        <f t="shared" si="3"/>
        <v>900</v>
      </c>
      <c r="L38" s="13">
        <v>900</v>
      </c>
      <c r="M38" s="13"/>
      <c r="N38" s="13"/>
      <c r="O38" s="13">
        <v>1904</v>
      </c>
      <c r="P38" s="13"/>
      <c r="Q38" s="13"/>
      <c r="R38" s="13"/>
      <c r="S38" s="13">
        <v>203.2</v>
      </c>
      <c r="T38" s="13"/>
      <c r="U38" s="13"/>
      <c r="V38" s="13"/>
    </row>
    <row r="39" spans="1:22">
      <c r="A39" t="s">
        <v>239</v>
      </c>
      <c r="B39">
        <v>1</v>
      </c>
      <c r="C39" t="s">
        <v>144</v>
      </c>
      <c r="D39">
        <v>4</v>
      </c>
      <c r="E39" t="s">
        <v>218</v>
      </c>
      <c r="F39">
        <v>4</v>
      </c>
      <c r="G39" s="19" t="s">
        <v>235</v>
      </c>
      <c r="H39" s="14" t="s">
        <v>147</v>
      </c>
      <c r="I39" t="s">
        <v>240</v>
      </c>
      <c r="J39" s="11" t="s">
        <v>149</v>
      </c>
      <c r="K39" s="13">
        <f t="shared" si="3"/>
        <v>1700</v>
      </c>
      <c r="L39" s="13">
        <v>1700</v>
      </c>
      <c r="M39" s="13"/>
      <c r="N39" s="13"/>
      <c r="O39" s="13">
        <v>2563</v>
      </c>
      <c r="P39" s="15"/>
      <c r="Q39" s="13"/>
      <c r="R39" s="13"/>
      <c r="S39" s="13">
        <v>1237</v>
      </c>
      <c r="T39" s="13"/>
      <c r="U39" s="13"/>
      <c r="V39" s="13"/>
    </row>
    <row r="40" spans="1:22">
      <c r="A40" t="s">
        <v>241</v>
      </c>
      <c r="B40">
        <v>1</v>
      </c>
      <c r="C40" t="s">
        <v>144</v>
      </c>
      <c r="D40">
        <v>4</v>
      </c>
      <c r="E40" t="s">
        <v>218</v>
      </c>
      <c r="F40">
        <v>4</v>
      </c>
      <c r="G40" s="19" t="s">
        <v>235</v>
      </c>
      <c r="H40" s="14" t="s">
        <v>147</v>
      </c>
      <c r="I40" t="s">
        <v>242</v>
      </c>
      <c r="J40" s="11" t="s">
        <v>149</v>
      </c>
      <c r="K40" s="13">
        <f t="shared" si="3"/>
        <v>900</v>
      </c>
      <c r="L40" s="13">
        <v>900</v>
      </c>
      <c r="M40" s="13"/>
      <c r="N40" s="13"/>
      <c r="O40" s="13">
        <v>933.4</v>
      </c>
      <c r="P40" s="13"/>
      <c r="Q40" s="13"/>
      <c r="R40" s="13"/>
      <c r="S40" s="13">
        <v>100.1</v>
      </c>
      <c r="T40" s="13"/>
      <c r="U40" s="13"/>
      <c r="V40" s="13"/>
    </row>
    <row r="41" spans="1:22">
      <c r="A41" t="s">
        <v>243</v>
      </c>
      <c r="B41">
        <v>2</v>
      </c>
      <c r="C41" t="s">
        <v>244</v>
      </c>
      <c r="D41">
        <v>1</v>
      </c>
      <c r="E41" t="s">
        <v>245</v>
      </c>
      <c r="F41">
        <v>1</v>
      </c>
      <c r="G41" t="s">
        <v>245</v>
      </c>
      <c r="H41" s="14" t="s">
        <v>147</v>
      </c>
      <c r="I41" t="s">
        <v>246</v>
      </c>
      <c r="J41" s="11" t="s">
        <v>149</v>
      </c>
      <c r="K41" s="13">
        <f t="shared" si="3"/>
        <v>85</v>
      </c>
      <c r="L41" s="13">
        <v>85</v>
      </c>
      <c r="M41" s="13"/>
      <c r="N41" s="13"/>
      <c r="O41" s="13">
        <v>1682</v>
      </c>
      <c r="P41" s="13"/>
      <c r="Q41" s="13"/>
      <c r="R41" s="13"/>
      <c r="S41" s="13">
        <v>129.80000000000001</v>
      </c>
      <c r="T41" s="13"/>
      <c r="U41" s="13"/>
      <c r="V41" s="13"/>
    </row>
    <row r="42" spans="1:22">
      <c r="A42" t="s">
        <v>247</v>
      </c>
      <c r="B42">
        <v>2</v>
      </c>
      <c r="C42" t="s">
        <v>244</v>
      </c>
      <c r="D42">
        <v>1</v>
      </c>
      <c r="E42" t="s">
        <v>245</v>
      </c>
      <c r="F42">
        <v>1</v>
      </c>
      <c r="G42" t="s">
        <v>245</v>
      </c>
      <c r="H42" s="14" t="s">
        <v>147</v>
      </c>
      <c r="I42" t="s">
        <v>248</v>
      </c>
      <c r="J42" s="11" t="s">
        <v>149</v>
      </c>
      <c r="K42" s="13">
        <f t="shared" si="3"/>
        <v>46.25</v>
      </c>
      <c r="L42" s="13">
        <v>46.25</v>
      </c>
      <c r="M42" s="13"/>
      <c r="N42" s="13"/>
      <c r="O42" s="13">
        <v>795.3</v>
      </c>
      <c r="P42" s="13"/>
      <c r="Q42" s="13"/>
      <c r="R42" s="13"/>
      <c r="S42" s="13">
        <v>66.97</v>
      </c>
      <c r="T42" s="13"/>
      <c r="U42" s="13"/>
      <c r="V42" s="13"/>
    </row>
    <row r="43" spans="1:22">
      <c r="A43" t="s">
        <v>249</v>
      </c>
      <c r="B43">
        <v>2</v>
      </c>
      <c r="C43" t="s">
        <v>244</v>
      </c>
      <c r="D43">
        <v>1</v>
      </c>
      <c r="E43" t="s">
        <v>245</v>
      </c>
      <c r="F43">
        <v>1</v>
      </c>
      <c r="G43" t="s">
        <v>245</v>
      </c>
      <c r="H43" s="14" t="s">
        <v>147</v>
      </c>
      <c r="I43" t="s">
        <v>250</v>
      </c>
      <c r="J43" s="11" t="s">
        <v>149</v>
      </c>
      <c r="K43" s="13">
        <f t="shared" si="3"/>
        <v>145</v>
      </c>
      <c r="L43" s="13">
        <v>145</v>
      </c>
      <c r="M43" s="13"/>
      <c r="N43" s="13"/>
      <c r="O43" s="13">
        <v>1949</v>
      </c>
      <c r="P43" s="13"/>
      <c r="Q43" s="13"/>
      <c r="R43" s="13"/>
      <c r="S43" s="13">
        <v>193.4</v>
      </c>
      <c r="T43" s="13"/>
      <c r="U43" s="13"/>
      <c r="V43" s="13"/>
    </row>
    <row r="44" spans="1:22">
      <c r="A44" t="s">
        <v>251</v>
      </c>
      <c r="B44">
        <v>2</v>
      </c>
      <c r="C44" t="s">
        <v>244</v>
      </c>
      <c r="D44">
        <v>2</v>
      </c>
      <c r="E44" t="s">
        <v>252</v>
      </c>
      <c r="F44">
        <v>1</v>
      </c>
      <c r="G44" t="s">
        <v>253</v>
      </c>
      <c r="H44" s="14" t="s">
        <v>147</v>
      </c>
      <c r="I44" t="s">
        <v>254</v>
      </c>
      <c r="J44" s="11" t="s">
        <v>149</v>
      </c>
      <c r="K44" s="13">
        <f t="shared" si="3"/>
        <v>25</v>
      </c>
      <c r="L44" s="13">
        <v>25</v>
      </c>
      <c r="M44" s="13"/>
      <c r="N44" s="13"/>
      <c r="O44" s="13">
        <v>2286</v>
      </c>
      <c r="P44" s="13"/>
      <c r="Q44" s="13"/>
      <c r="R44" s="13"/>
      <c r="S44" s="13">
        <v>86.93</v>
      </c>
      <c r="T44" s="13"/>
      <c r="U44" s="13"/>
      <c r="V44" s="13"/>
    </row>
    <row r="45" spans="1:22">
      <c r="A45" t="s">
        <v>255</v>
      </c>
      <c r="B45">
        <v>2</v>
      </c>
      <c r="C45" t="s">
        <v>244</v>
      </c>
      <c r="D45">
        <v>3</v>
      </c>
      <c r="E45" t="s">
        <v>256</v>
      </c>
      <c r="F45">
        <v>1</v>
      </c>
      <c r="G45" t="s">
        <v>257</v>
      </c>
      <c r="H45" s="14" t="s">
        <v>147</v>
      </c>
      <c r="I45" t="s">
        <v>258</v>
      </c>
      <c r="J45" s="11" t="s">
        <v>149</v>
      </c>
      <c r="K45" s="13">
        <f t="shared" si="3"/>
        <v>32</v>
      </c>
      <c r="L45" s="13">
        <v>32</v>
      </c>
      <c r="M45" s="13"/>
      <c r="N45" s="13"/>
      <c r="O45" s="13">
        <v>2664</v>
      </c>
      <c r="P45" s="13"/>
      <c r="Q45" s="13"/>
      <c r="R45" s="13"/>
      <c r="S45" s="13">
        <v>102</v>
      </c>
      <c r="T45" s="13"/>
      <c r="U45" s="13"/>
      <c r="V45" s="13"/>
    </row>
    <row r="46" spans="1:22" ht="14.1" customHeight="1">
      <c r="A46" t="s">
        <v>259</v>
      </c>
      <c r="B46">
        <v>2</v>
      </c>
      <c r="C46" t="s">
        <v>244</v>
      </c>
      <c r="D46">
        <v>7</v>
      </c>
      <c r="E46" t="s">
        <v>260</v>
      </c>
      <c r="F46">
        <v>1</v>
      </c>
      <c r="G46" t="s">
        <v>260</v>
      </c>
      <c r="H46" s="14" t="s">
        <v>147</v>
      </c>
      <c r="I46" s="12" t="s">
        <v>261</v>
      </c>
      <c r="J46" s="11" t="s">
        <v>149</v>
      </c>
      <c r="K46" s="13">
        <f t="shared" si="3"/>
        <v>360</v>
      </c>
      <c r="L46" s="13">
        <v>360</v>
      </c>
      <c r="M46" s="13"/>
      <c r="N46" s="13"/>
      <c r="O46" s="13">
        <v>2137</v>
      </c>
      <c r="P46" s="13"/>
      <c r="Q46" s="13"/>
      <c r="R46" s="13"/>
      <c r="S46" s="13">
        <v>19.54</v>
      </c>
      <c r="T46" s="13"/>
      <c r="U46" s="13"/>
      <c r="V46" s="13"/>
    </row>
    <row r="47" spans="1:22">
      <c r="A47" t="s">
        <v>262</v>
      </c>
      <c r="B47">
        <v>2</v>
      </c>
      <c r="C47" t="s">
        <v>244</v>
      </c>
      <c r="D47">
        <v>20</v>
      </c>
      <c r="E47" t="s">
        <v>263</v>
      </c>
      <c r="F47">
        <v>1</v>
      </c>
      <c r="G47" t="s">
        <v>264</v>
      </c>
      <c r="H47" s="14" t="s">
        <v>147</v>
      </c>
      <c r="I47" t="s">
        <v>265</v>
      </c>
      <c r="J47" s="11" t="s">
        <v>149</v>
      </c>
      <c r="K47" s="13">
        <f t="shared" si="3"/>
        <v>115</v>
      </c>
      <c r="L47" s="13">
        <v>115</v>
      </c>
      <c r="M47" s="13"/>
      <c r="N47" s="13"/>
      <c r="O47" s="13">
        <v>1652</v>
      </c>
      <c r="P47" s="13"/>
      <c r="Q47" s="13"/>
      <c r="R47" s="13"/>
      <c r="S47" s="13">
        <v>174.5</v>
      </c>
      <c r="T47" s="13"/>
      <c r="U47" s="13"/>
      <c r="V47" s="13"/>
    </row>
    <row r="48" spans="1:22" ht="14.1" customHeight="1">
      <c r="A48" t="s">
        <v>266</v>
      </c>
      <c r="B48">
        <v>3</v>
      </c>
      <c r="C48" t="s">
        <v>267</v>
      </c>
      <c r="D48">
        <v>1</v>
      </c>
      <c r="E48" t="s">
        <v>268</v>
      </c>
      <c r="F48">
        <v>2</v>
      </c>
      <c r="G48" t="s">
        <v>269</v>
      </c>
      <c r="H48" s="14" t="s">
        <v>147</v>
      </c>
      <c r="I48" s="12" t="s">
        <v>270</v>
      </c>
      <c r="J48" s="11" t="s">
        <v>149</v>
      </c>
      <c r="K48" s="13">
        <f t="shared" si="3"/>
        <v>529</v>
      </c>
      <c r="L48" s="13">
        <v>529</v>
      </c>
      <c r="M48" s="13"/>
      <c r="N48" s="13"/>
      <c r="O48" s="13">
        <v>2586</v>
      </c>
      <c r="P48" s="13"/>
      <c r="Q48" s="13"/>
      <c r="R48" s="13"/>
      <c r="S48" s="13">
        <v>-629.4</v>
      </c>
      <c r="T48" s="13"/>
      <c r="U48" s="13"/>
      <c r="V48" s="13"/>
    </row>
    <row r="49" spans="1:22" ht="14.1" customHeight="1">
      <c r="A49" t="s">
        <v>271</v>
      </c>
      <c r="B49">
        <v>3</v>
      </c>
      <c r="C49" t="s">
        <v>267</v>
      </c>
      <c r="D49">
        <v>1</v>
      </c>
      <c r="E49" t="s">
        <v>268</v>
      </c>
      <c r="F49">
        <v>3</v>
      </c>
      <c r="G49" t="s">
        <v>272</v>
      </c>
      <c r="H49" s="14" t="s">
        <v>147</v>
      </c>
      <c r="I49" s="12" t="s">
        <v>273</v>
      </c>
      <c r="J49" s="11" t="s">
        <v>149</v>
      </c>
      <c r="K49" s="13">
        <f t="shared" si="3"/>
        <v>515.20000000000005</v>
      </c>
      <c r="L49" s="13">
        <v>515.20000000000005</v>
      </c>
      <c r="M49" s="13"/>
      <c r="N49" s="13"/>
      <c r="O49" s="13">
        <v>3055</v>
      </c>
      <c r="P49" s="13"/>
      <c r="Q49" s="13"/>
      <c r="R49" s="13"/>
      <c r="S49" s="13">
        <v>-583.5</v>
      </c>
      <c r="T49" s="13"/>
      <c r="U49" s="13"/>
      <c r="V49" s="13"/>
    </row>
    <row r="50" spans="1:22" ht="14.1" customHeight="1">
      <c r="A50" t="s">
        <v>274</v>
      </c>
      <c r="B50">
        <v>3</v>
      </c>
      <c r="C50" t="s">
        <v>267</v>
      </c>
      <c r="D50">
        <v>1</v>
      </c>
      <c r="E50" t="s">
        <v>268</v>
      </c>
      <c r="F50">
        <v>4</v>
      </c>
      <c r="G50" t="s">
        <v>275</v>
      </c>
      <c r="H50" s="14" t="s">
        <v>147</v>
      </c>
      <c r="I50" s="12" t="s">
        <v>276</v>
      </c>
      <c r="J50" s="11" t="s">
        <v>149</v>
      </c>
      <c r="K50" s="13">
        <f t="shared" si="3"/>
        <v>515.20000000000005</v>
      </c>
      <c r="L50" s="13">
        <v>515.20000000000005</v>
      </c>
      <c r="M50" s="13"/>
      <c r="N50" s="13"/>
      <c r="O50" s="13">
        <v>3144</v>
      </c>
      <c r="P50" s="13"/>
      <c r="Q50" s="13"/>
      <c r="R50" s="13"/>
      <c r="S50" s="13">
        <v>-580.79999999999995</v>
      </c>
      <c r="T50" s="13"/>
      <c r="U50" s="13"/>
      <c r="V50" s="13"/>
    </row>
    <row r="51" spans="1:22" ht="14.1" customHeight="1">
      <c r="A51" t="s">
        <v>277</v>
      </c>
      <c r="B51">
        <v>3</v>
      </c>
      <c r="C51" t="s">
        <v>267</v>
      </c>
      <c r="D51">
        <v>2</v>
      </c>
      <c r="E51" t="s">
        <v>278</v>
      </c>
      <c r="F51">
        <v>2</v>
      </c>
      <c r="G51" t="s">
        <v>279</v>
      </c>
      <c r="H51" s="14" t="s">
        <v>147</v>
      </c>
      <c r="I51" s="12" t="s">
        <v>280</v>
      </c>
      <c r="J51" s="11" t="s">
        <v>149</v>
      </c>
      <c r="K51" s="13">
        <f t="shared" si="3"/>
        <v>490.6</v>
      </c>
      <c r="L51" s="13">
        <v>490.6</v>
      </c>
      <c r="M51" s="13"/>
      <c r="N51" s="13"/>
      <c r="O51" s="13">
        <v>3278</v>
      </c>
      <c r="P51" s="13"/>
      <c r="Q51" s="13"/>
      <c r="R51" s="13"/>
      <c r="S51" s="13">
        <v>-716.8</v>
      </c>
      <c r="T51" s="13"/>
      <c r="U51" s="13"/>
      <c r="V51" s="13"/>
    </row>
    <row r="52" spans="1:22" ht="14.1" customHeight="1">
      <c r="A52" t="s">
        <v>281</v>
      </c>
      <c r="B52">
        <v>3</v>
      </c>
      <c r="C52" t="s">
        <v>267</v>
      </c>
      <c r="D52">
        <v>2</v>
      </c>
      <c r="E52" t="s">
        <v>278</v>
      </c>
      <c r="F52">
        <v>6</v>
      </c>
      <c r="G52" t="s">
        <v>282</v>
      </c>
      <c r="H52" s="14" t="s">
        <v>147</v>
      </c>
      <c r="I52" s="12" t="s">
        <v>283</v>
      </c>
      <c r="J52" s="11" t="s">
        <v>149</v>
      </c>
      <c r="K52" s="13">
        <f t="shared" si="3"/>
        <v>700</v>
      </c>
      <c r="L52" s="13">
        <v>700</v>
      </c>
      <c r="M52" s="13"/>
      <c r="N52" s="13"/>
      <c r="O52" s="13">
        <v>4715</v>
      </c>
      <c r="P52" s="13"/>
      <c r="Q52" s="13"/>
      <c r="R52" s="13"/>
      <c r="S52" s="13">
        <v>-834.6</v>
      </c>
      <c r="T52" s="13"/>
      <c r="U52" s="13"/>
      <c r="V52" s="13"/>
    </row>
    <row r="53" spans="1:22" ht="14.1" customHeight="1">
      <c r="A53" t="s">
        <v>284</v>
      </c>
      <c r="B53">
        <v>3</v>
      </c>
      <c r="C53" t="s">
        <v>267</v>
      </c>
      <c r="D53">
        <v>3</v>
      </c>
      <c r="E53" t="s">
        <v>285</v>
      </c>
      <c r="F53">
        <v>1</v>
      </c>
      <c r="G53" t="s">
        <v>286</v>
      </c>
      <c r="H53" s="14" t="s">
        <v>147</v>
      </c>
      <c r="I53" s="12" t="s">
        <v>287</v>
      </c>
      <c r="J53" s="11" t="s">
        <v>157</v>
      </c>
      <c r="K53" s="13">
        <f>M53</f>
        <v>7.09</v>
      </c>
      <c r="L53" s="13"/>
      <c r="M53" s="13">
        <v>7.09</v>
      </c>
      <c r="N53" s="13"/>
      <c r="O53" s="13">
        <v>164.8</v>
      </c>
      <c r="P53" s="13"/>
      <c r="Q53" s="13"/>
      <c r="R53" s="13"/>
      <c r="S53" s="13">
        <v>-1.3160000000000001</v>
      </c>
      <c r="T53" s="13"/>
      <c r="U53" s="13"/>
      <c r="V53" s="13"/>
    </row>
    <row r="54" spans="1:22">
      <c r="A54" t="s">
        <v>288</v>
      </c>
      <c r="B54">
        <v>4</v>
      </c>
      <c r="C54" t="s">
        <v>289</v>
      </c>
      <c r="D54">
        <v>1</v>
      </c>
      <c r="E54" t="s">
        <v>290</v>
      </c>
      <c r="F54">
        <v>2</v>
      </c>
      <c r="G54" t="s">
        <v>291</v>
      </c>
      <c r="H54" s="14" t="s">
        <v>147</v>
      </c>
      <c r="I54" t="s">
        <v>292</v>
      </c>
      <c r="J54" s="11" t="s">
        <v>233</v>
      </c>
      <c r="K54" s="13">
        <v>1</v>
      </c>
      <c r="L54" s="13">
        <v>7850</v>
      </c>
      <c r="M54" s="13"/>
      <c r="N54" s="13"/>
      <c r="O54" s="13">
        <v>7.9130000000000003</v>
      </c>
      <c r="P54" s="13"/>
      <c r="Q54" s="13"/>
      <c r="R54" s="13"/>
      <c r="S54" s="13">
        <v>0.64219999999999999</v>
      </c>
      <c r="T54" s="13"/>
      <c r="U54" s="13"/>
      <c r="V54" s="13"/>
    </row>
    <row r="55" spans="1:22">
      <c r="A55" t="s">
        <v>293</v>
      </c>
      <c r="B55">
        <v>4</v>
      </c>
      <c r="C55" t="s">
        <v>289</v>
      </c>
      <c r="D55">
        <v>1</v>
      </c>
      <c r="E55" t="s">
        <v>290</v>
      </c>
      <c r="F55">
        <v>2</v>
      </c>
      <c r="G55" t="s">
        <v>291</v>
      </c>
      <c r="H55" s="14" t="s">
        <v>147</v>
      </c>
      <c r="I55" t="s">
        <v>294</v>
      </c>
      <c r="J55" s="11" t="s">
        <v>295</v>
      </c>
      <c r="K55" s="13">
        <f>L55</f>
        <v>7850</v>
      </c>
      <c r="L55" s="13">
        <v>7850</v>
      </c>
      <c r="M55" s="13"/>
      <c r="N55" s="13"/>
      <c r="O55" s="13">
        <v>6278</v>
      </c>
      <c r="P55" s="13"/>
      <c r="Q55" s="13"/>
      <c r="R55" s="13"/>
      <c r="S55" s="13">
        <v>544.29999999999995</v>
      </c>
      <c r="T55" s="13"/>
      <c r="U55" s="13"/>
      <c r="V55" s="13"/>
    </row>
    <row r="56" spans="1:22" ht="14.1" customHeight="1">
      <c r="A56" t="s">
        <v>296</v>
      </c>
      <c r="B56">
        <v>4</v>
      </c>
      <c r="C56" t="s">
        <v>289</v>
      </c>
      <c r="D56">
        <v>1</v>
      </c>
      <c r="E56" t="s">
        <v>290</v>
      </c>
      <c r="F56">
        <v>3</v>
      </c>
      <c r="G56" t="s">
        <v>297</v>
      </c>
      <c r="H56" s="14" t="s">
        <v>147</v>
      </c>
      <c r="I56" s="12" t="s">
        <v>298</v>
      </c>
      <c r="J56" s="11" t="s">
        <v>295</v>
      </c>
      <c r="K56" s="13">
        <f>L56</f>
        <v>7850</v>
      </c>
      <c r="L56" s="13">
        <v>7850</v>
      </c>
      <c r="M56" s="13"/>
      <c r="N56" s="13"/>
      <c r="O56" s="13">
        <v>9016</v>
      </c>
      <c r="P56" s="13"/>
      <c r="Q56" s="13"/>
      <c r="R56" s="13"/>
      <c r="S56" s="13">
        <v>560.29999999999995</v>
      </c>
      <c r="T56" s="13"/>
      <c r="U56" s="13"/>
      <c r="V56" s="13"/>
    </row>
    <row r="57" spans="1:22" ht="14.1" customHeight="1">
      <c r="A57" t="s">
        <v>299</v>
      </c>
      <c r="B57">
        <v>4</v>
      </c>
      <c r="C57" t="s">
        <v>289</v>
      </c>
      <c r="D57">
        <v>1</v>
      </c>
      <c r="E57" t="s">
        <v>290</v>
      </c>
      <c r="F57">
        <v>3</v>
      </c>
      <c r="G57" t="s">
        <v>297</v>
      </c>
      <c r="H57" s="14" t="s">
        <v>147</v>
      </c>
      <c r="I57" s="12" t="s">
        <v>300</v>
      </c>
      <c r="J57" s="11" t="s">
        <v>233</v>
      </c>
      <c r="K57" s="13">
        <v>1</v>
      </c>
      <c r="L57" s="13">
        <v>7850</v>
      </c>
      <c r="M57" s="13"/>
      <c r="N57" s="13"/>
      <c r="O57" s="13">
        <v>27.92</v>
      </c>
      <c r="P57" s="13"/>
      <c r="Q57" s="13"/>
      <c r="R57" s="13"/>
      <c r="S57" s="13">
        <v>2.9220000000000002</v>
      </c>
      <c r="T57" s="13"/>
      <c r="U57" s="13"/>
      <c r="V57" s="13"/>
    </row>
    <row r="58" spans="1:22" ht="14.1" customHeight="1">
      <c r="A58" t="s">
        <v>301</v>
      </c>
      <c r="B58">
        <v>4</v>
      </c>
      <c r="C58" t="s">
        <v>289</v>
      </c>
      <c r="D58">
        <v>1</v>
      </c>
      <c r="E58" t="s">
        <v>290</v>
      </c>
      <c r="F58">
        <v>4</v>
      </c>
      <c r="G58" s="12" t="s">
        <v>302</v>
      </c>
      <c r="H58" s="14" t="s">
        <v>147</v>
      </c>
      <c r="I58" s="12" t="s">
        <v>303</v>
      </c>
      <c r="J58" s="11" t="s">
        <v>157</v>
      </c>
      <c r="K58" s="13">
        <f>M58</f>
        <v>5.72</v>
      </c>
      <c r="L58" s="13"/>
      <c r="M58" s="13">
        <v>5.72</v>
      </c>
      <c r="N58" s="13"/>
      <c r="O58" s="13">
        <v>154.30000000000001</v>
      </c>
      <c r="P58" s="13"/>
      <c r="Q58" s="13"/>
      <c r="R58" s="13"/>
      <c r="S58" s="13">
        <v>16.59</v>
      </c>
      <c r="T58" s="13"/>
      <c r="U58" s="13"/>
      <c r="V58" s="13"/>
    </row>
    <row r="59" spans="1:22" ht="14.1" customHeight="1">
      <c r="A59" t="s">
        <v>304</v>
      </c>
      <c r="B59">
        <v>4</v>
      </c>
      <c r="C59" t="s">
        <v>289</v>
      </c>
      <c r="D59">
        <v>1</v>
      </c>
      <c r="E59" t="s">
        <v>290</v>
      </c>
      <c r="F59">
        <v>5</v>
      </c>
      <c r="G59" t="s">
        <v>305</v>
      </c>
      <c r="H59" s="14" t="s">
        <v>147</v>
      </c>
      <c r="I59" s="12" t="s">
        <v>306</v>
      </c>
      <c r="J59" s="11" t="s">
        <v>233</v>
      </c>
      <c r="K59" s="13">
        <v>1</v>
      </c>
      <c r="L59" s="13"/>
      <c r="M59" s="13"/>
      <c r="N59" s="13"/>
      <c r="O59" s="13">
        <v>14.23</v>
      </c>
      <c r="P59" s="13"/>
      <c r="Q59" s="13"/>
      <c r="R59" s="13"/>
      <c r="S59" s="13">
        <v>1.506</v>
      </c>
      <c r="T59" s="13"/>
      <c r="U59" s="13"/>
      <c r="V59" s="13"/>
    </row>
    <row r="60" spans="1:22" ht="14.1" customHeight="1">
      <c r="A60" t="s">
        <v>307</v>
      </c>
      <c r="B60">
        <v>5</v>
      </c>
      <c r="C60" t="s">
        <v>308</v>
      </c>
      <c r="D60">
        <v>1</v>
      </c>
      <c r="E60" t="s">
        <v>309</v>
      </c>
      <c r="F60">
        <v>1</v>
      </c>
      <c r="G60" t="s">
        <v>310</v>
      </c>
      <c r="H60" s="14" t="s">
        <v>147</v>
      </c>
      <c r="I60" s="12" t="s">
        <v>311</v>
      </c>
      <c r="J60" s="11" t="s">
        <v>233</v>
      </c>
      <c r="K60" s="13">
        <v>1</v>
      </c>
      <c r="L60" s="13"/>
      <c r="M60" s="13"/>
      <c r="N60" s="13"/>
      <c r="O60" s="13">
        <v>17.79</v>
      </c>
      <c r="P60" s="13"/>
      <c r="Q60" s="13"/>
      <c r="R60" s="13"/>
      <c r="S60" s="13">
        <v>0.92779999999999996</v>
      </c>
      <c r="T60" s="13"/>
      <c r="U60" s="13"/>
      <c r="V60" s="13"/>
    </row>
    <row r="61" spans="1:22" ht="14.1" customHeight="1">
      <c r="A61" t="s">
        <v>312</v>
      </c>
      <c r="B61">
        <v>5</v>
      </c>
      <c r="C61" t="s">
        <v>308</v>
      </c>
      <c r="D61">
        <v>1</v>
      </c>
      <c r="E61" t="s">
        <v>309</v>
      </c>
      <c r="F61">
        <v>1</v>
      </c>
      <c r="G61" t="s">
        <v>310</v>
      </c>
      <c r="H61" s="14" t="s">
        <v>147</v>
      </c>
      <c r="I61" s="12" t="s">
        <v>313</v>
      </c>
      <c r="J61" s="11" t="s">
        <v>233</v>
      </c>
      <c r="K61" s="13">
        <v>1</v>
      </c>
      <c r="L61" s="13"/>
      <c r="M61" s="13"/>
      <c r="N61" s="13"/>
      <c r="O61" s="13">
        <v>16.059999999999999</v>
      </c>
      <c r="P61" s="13"/>
      <c r="Q61" s="13"/>
      <c r="R61" s="13"/>
      <c r="S61" s="13">
        <v>0.85309999999999997</v>
      </c>
      <c r="T61" s="13"/>
      <c r="U61" s="13"/>
      <c r="V61" s="13"/>
    </row>
    <row r="62" spans="1:22">
      <c r="A62" t="s">
        <v>314</v>
      </c>
      <c r="B62">
        <v>6</v>
      </c>
      <c r="C62" t="s">
        <v>315</v>
      </c>
      <c r="D62">
        <v>3</v>
      </c>
      <c r="E62" t="s">
        <v>316</v>
      </c>
      <c r="F62">
        <v>1</v>
      </c>
      <c r="G62" t="s">
        <v>317</v>
      </c>
      <c r="H62" s="14" t="s">
        <v>147</v>
      </c>
      <c r="I62" t="s">
        <v>318</v>
      </c>
      <c r="J62" s="11" t="s">
        <v>157</v>
      </c>
      <c r="K62" s="13">
        <f>M62</f>
        <v>5</v>
      </c>
      <c r="L62" s="13"/>
      <c r="M62" s="13">
        <v>5</v>
      </c>
      <c r="N62" s="13"/>
      <c r="O62" s="13">
        <v>188</v>
      </c>
      <c r="P62" s="13"/>
      <c r="Q62" s="13"/>
      <c r="R62" s="13"/>
      <c r="S62" s="13">
        <v>2.907</v>
      </c>
      <c r="T62" s="13"/>
      <c r="U62" s="13"/>
      <c r="V62" s="13"/>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DE</v>
      </c>
      <c r="I64" s="12" t="str">
        <f t="shared" ref="I64:I72" si="5">A64</f>
        <v>CONCRETE generic data for modelling with BoQ</v>
      </c>
      <c r="J64" s="14" t="str">
        <f>J33</f>
        <v>m³</v>
      </c>
      <c r="K64" s="15">
        <f>K33</f>
        <v>2306</v>
      </c>
      <c r="L64" s="15">
        <f>L33</f>
        <v>2306</v>
      </c>
      <c r="M64" s="15"/>
      <c r="N64" s="15"/>
      <c r="O64" s="15">
        <f>O33</f>
        <v>873.3</v>
      </c>
      <c r="P64" s="15"/>
      <c r="Q64" s="15"/>
      <c r="R64" s="15"/>
      <c r="S64" s="15">
        <f>S33</f>
        <v>257.7</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DE</v>
      </c>
      <c r="I65" s="12" t="str">
        <f t="shared" si="5"/>
        <v>STEEL generic data for modelling with BoQ</v>
      </c>
      <c r="J65" s="14" t="str">
        <f>J56</f>
        <v>t</v>
      </c>
      <c r="K65" s="15">
        <f>K56</f>
        <v>7850</v>
      </c>
      <c r="L65" s="15">
        <f>L56</f>
        <v>7850</v>
      </c>
      <c r="M65" s="15"/>
      <c r="N65" s="15"/>
      <c r="O65" s="15">
        <f>O56</f>
        <v>9016</v>
      </c>
      <c r="P65" s="15"/>
      <c r="Q65" s="15"/>
      <c r="R65" s="15"/>
      <c r="S65" s="15">
        <f>S56</f>
        <v>560.29999999999995</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DE</v>
      </c>
      <c r="I66" t="str">
        <f t="shared" si="5"/>
        <v>PLASTER generic data for modelling with BoQ</v>
      </c>
      <c r="J66" s="14" t="str">
        <f>J38</f>
        <v>m³</v>
      </c>
      <c r="K66" s="15">
        <f>K38</f>
        <v>900</v>
      </c>
      <c r="L66" s="15">
        <f>L38</f>
        <v>900</v>
      </c>
      <c r="M66" s="15"/>
      <c r="N66" s="15"/>
      <c r="O66" s="15">
        <f>O38</f>
        <v>1904</v>
      </c>
      <c r="P66" s="15"/>
      <c r="Q66" s="15"/>
      <c r="R66" s="15"/>
      <c r="S66" s="15">
        <f>S38</f>
        <v>203.2</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DE</v>
      </c>
      <c r="I67" t="str">
        <f t="shared" si="5"/>
        <v>CEMENT SCREED generic data for modelling with BoQ</v>
      </c>
      <c r="J67" s="14" t="str">
        <f>J36</f>
        <v>kg</v>
      </c>
      <c r="K67" s="15">
        <f>K36</f>
        <v>1</v>
      </c>
      <c r="L67" s="15">
        <f>L36</f>
        <v>2400</v>
      </c>
      <c r="M67" s="15"/>
      <c r="N67" s="15"/>
      <c r="O67" s="15">
        <f>O36</f>
        <v>1.194</v>
      </c>
      <c r="P67" s="15"/>
      <c r="Q67" s="15"/>
      <c r="R67" s="15"/>
      <c r="S67" s="15">
        <f>S36</f>
        <v>0.185</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DE</v>
      </c>
      <c r="I68" t="str">
        <f t="shared" si="5"/>
        <v>FLOOR FINISH generic data for modelling with BoQ</v>
      </c>
      <c r="J68" s="14" t="str">
        <f>J18</f>
        <v>m²</v>
      </c>
      <c r="K68" s="15">
        <f>K18</f>
        <v>52</v>
      </c>
      <c r="L68" s="15"/>
      <c r="M68" s="15">
        <f>M18</f>
        <v>52</v>
      </c>
      <c r="N68" s="15"/>
      <c r="O68" s="15">
        <f>O18</f>
        <v>197.2</v>
      </c>
      <c r="P68" s="15"/>
      <c r="Q68" s="15"/>
      <c r="R68" s="15"/>
      <c r="S68" s="15">
        <f>S18</f>
        <v>15.05</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DE</v>
      </c>
      <c r="I69" t="str">
        <f t="shared" si="5"/>
        <v>AAC BLOCK generic data for modelling with BoQ</v>
      </c>
      <c r="J69" s="14" t="str">
        <f>J8</f>
        <v>m³</v>
      </c>
      <c r="K69" s="15">
        <f>K8</f>
        <v>500</v>
      </c>
      <c r="L69" s="15">
        <f>L8</f>
        <v>500</v>
      </c>
      <c r="M69" s="15"/>
      <c r="N69" s="15"/>
      <c r="O69" s="15">
        <f>O8</f>
        <v>1414</v>
      </c>
      <c r="P69" s="15"/>
      <c r="Q69" s="15"/>
      <c r="R69" s="15"/>
      <c r="S69" s="15">
        <f>S8</f>
        <v>232.2</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DE</v>
      </c>
      <c r="I70" t="str">
        <f t="shared" si="5"/>
        <v>RED BRICK generic data for modelling with BoQ</v>
      </c>
      <c r="J70" s="14" t="str">
        <f>J3</f>
        <v>m³</v>
      </c>
      <c r="K70" s="15">
        <f>K3</f>
        <v>1800</v>
      </c>
      <c r="L70" s="15">
        <f>L3</f>
        <v>1800</v>
      </c>
      <c r="M70" s="15"/>
      <c r="N70" s="15"/>
      <c r="O70" s="15">
        <f>O3</f>
        <v>8181</v>
      </c>
      <c r="P70" s="15"/>
      <c r="Q70" s="15"/>
      <c r="R70" s="15"/>
      <c r="S70" s="15">
        <f>S3</f>
        <v>555.20000000000005</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DE</v>
      </c>
      <c r="I71" t="str">
        <f t="shared" si="5"/>
        <v>CONCRETE BRICK generic data for modelling with BoQ</v>
      </c>
      <c r="J71" s="14" t="str">
        <f>J15</f>
        <v>m³</v>
      </c>
      <c r="K71" s="15">
        <f>K15</f>
        <v>2000</v>
      </c>
      <c r="L71" s="15">
        <f>L15</f>
        <v>2000</v>
      </c>
      <c r="M71" s="15"/>
      <c r="N71" s="15"/>
      <c r="O71" s="15">
        <f>O15</f>
        <v>1130</v>
      </c>
      <c r="P71" s="15"/>
      <c r="Q71" s="15"/>
      <c r="R71" s="15"/>
      <c r="S71" s="15">
        <f>S15</f>
        <v>229</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DE</v>
      </c>
      <c r="I72" t="str">
        <f t="shared" si="5"/>
        <v>CONCRETE ROOF TILES generic data for modelling with BoQ</v>
      </c>
      <c r="J72" s="14" t="str">
        <f>J24</f>
        <v>m²</v>
      </c>
      <c r="K72" s="11">
        <f>K24</f>
        <v>42</v>
      </c>
      <c r="L72" s="11"/>
      <c r="M72" s="11">
        <f>M24</f>
        <v>42</v>
      </c>
      <c r="N72" s="15"/>
      <c r="O72" s="11">
        <f>O24</f>
        <v>96.85</v>
      </c>
      <c r="P72" s="15"/>
      <c r="Q72" s="15"/>
      <c r="R72" s="15"/>
      <c r="S72" s="11">
        <f>S24</f>
        <v>12.98</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headerFooter scaleWithDoc="0">
    <oddFooter>&amp;L&amp;9 &amp;K00-046&amp;A
&amp;F&amp;R&amp;10 &amp;K00-046&amp;D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A1:Q272"/>
  <sheetViews>
    <sheetView workbookViewId="0">
      <selection activeCell="A7" sqref="A7"/>
    </sheetView>
  </sheetViews>
  <sheetFormatPr defaultColWidth="9" defaultRowHeight="14.1"/>
  <cols>
    <col min="1" max="1" width="60.625" style="16" bestFit="1" customWidth="1"/>
    <col min="2" max="2" width="23" style="16" bestFit="1" customWidth="1"/>
    <col min="3" max="3" width="45" style="16" bestFit="1" customWidth="1"/>
    <col min="4" max="4" width="9" style="16" customWidth="1"/>
    <col min="5" max="16384" width="9" style="16"/>
  </cols>
  <sheetData>
    <row r="1" spans="1:16">
      <c r="A1" s="16" t="s">
        <v>328</v>
      </c>
      <c r="B1" s="17" t="s">
        <v>329</v>
      </c>
      <c r="C1" s="16" t="s">
        <v>330</v>
      </c>
      <c r="D1" s="17" t="s">
        <v>331</v>
      </c>
      <c r="E1" s="16" t="s">
        <v>332</v>
      </c>
      <c r="F1" s="16" t="s">
        <v>333</v>
      </c>
      <c r="G1" s="16" t="s">
        <v>334</v>
      </c>
      <c r="H1" s="16" t="s">
        <v>335</v>
      </c>
      <c r="I1" s="16" t="s">
        <v>336</v>
      </c>
      <c r="J1" s="16" t="s">
        <v>337</v>
      </c>
      <c r="K1" s="16" t="s">
        <v>338</v>
      </c>
      <c r="L1" s="16" t="s">
        <v>339</v>
      </c>
      <c r="M1" s="16" t="s">
        <v>340</v>
      </c>
      <c r="N1" s="16" t="s">
        <v>341</v>
      </c>
      <c r="O1" s="16" t="s">
        <v>342</v>
      </c>
      <c r="P1" s="16" t="s">
        <v>343</v>
      </c>
    </row>
    <row r="2" spans="1:16">
      <c r="A2" s="16" t="s">
        <v>344</v>
      </c>
      <c r="B2" s="17" t="s">
        <v>345</v>
      </c>
      <c r="C2" s="16" t="s">
        <v>346</v>
      </c>
      <c r="D2" s="17" t="s">
        <v>347</v>
      </c>
      <c r="E2" s="16" t="s">
        <v>348</v>
      </c>
      <c r="F2" s="16" t="s">
        <v>348</v>
      </c>
      <c r="G2" s="16" t="s">
        <v>348</v>
      </c>
      <c r="H2" s="16" t="s">
        <v>348</v>
      </c>
      <c r="I2" s="16" t="s">
        <v>348</v>
      </c>
      <c r="J2" s="16" t="s">
        <v>348</v>
      </c>
      <c r="K2" s="16" t="s">
        <v>348</v>
      </c>
      <c r="L2" s="16" t="s">
        <v>348</v>
      </c>
      <c r="M2" s="16" t="s">
        <v>348</v>
      </c>
      <c r="N2" s="16" t="s">
        <v>348</v>
      </c>
      <c r="O2" s="16" t="s">
        <v>348</v>
      </c>
      <c r="P2" s="16" t="s">
        <v>348</v>
      </c>
    </row>
    <row r="3" spans="1:16">
      <c r="A3" s="16" t="s">
        <v>344</v>
      </c>
      <c r="B3" s="17" t="s">
        <v>345</v>
      </c>
      <c r="C3" s="16" t="s">
        <v>349</v>
      </c>
      <c r="D3" s="17" t="s">
        <v>350</v>
      </c>
      <c r="E3" s="16">
        <v>6.5511345172891726</v>
      </c>
      <c r="F3" s="16">
        <v>11.203950489063541</v>
      </c>
      <c r="G3" s="16">
        <v>15.81873320008752</v>
      </c>
      <c r="H3" s="16" t="s">
        <v>348</v>
      </c>
      <c r="I3" s="16" t="s">
        <v>348</v>
      </c>
      <c r="J3" s="16" t="s">
        <v>348</v>
      </c>
      <c r="K3" s="16" t="s">
        <v>348</v>
      </c>
      <c r="L3" s="16" t="s">
        <v>348</v>
      </c>
      <c r="M3" s="16" t="s">
        <v>348</v>
      </c>
      <c r="N3" s="16" t="s">
        <v>348</v>
      </c>
      <c r="O3" s="16" t="s">
        <v>348</v>
      </c>
      <c r="P3" s="16" t="s">
        <v>348</v>
      </c>
    </row>
    <row r="4" spans="1:16">
      <c r="A4" s="16" t="s">
        <v>344</v>
      </c>
      <c r="B4" s="17" t="s">
        <v>345</v>
      </c>
      <c r="C4" s="16" t="s">
        <v>351</v>
      </c>
      <c r="D4" s="17" t="s">
        <v>352</v>
      </c>
      <c r="E4" s="16">
        <v>13.41536922257148</v>
      </c>
      <c r="F4" s="16">
        <v>13.23203796298343</v>
      </c>
      <c r="G4" s="16">
        <v>11.43676909953963</v>
      </c>
      <c r="H4" s="16" t="s">
        <v>348</v>
      </c>
      <c r="I4" s="16" t="s">
        <v>348</v>
      </c>
      <c r="J4" s="16" t="s">
        <v>348</v>
      </c>
      <c r="K4" s="16" t="s">
        <v>348</v>
      </c>
      <c r="L4" s="16" t="s">
        <v>348</v>
      </c>
      <c r="M4" s="16" t="s">
        <v>348</v>
      </c>
      <c r="N4" s="16" t="s">
        <v>348</v>
      </c>
      <c r="O4" s="16" t="s">
        <v>348</v>
      </c>
      <c r="P4" s="16" t="s">
        <v>348</v>
      </c>
    </row>
    <row r="5" spans="1:16">
      <c r="A5" s="16" t="s">
        <v>344</v>
      </c>
      <c r="B5" s="17" t="s">
        <v>345</v>
      </c>
      <c r="C5" s="16" t="s">
        <v>353</v>
      </c>
      <c r="D5" s="17" t="s">
        <v>354</v>
      </c>
      <c r="E5" s="16" t="s">
        <v>348</v>
      </c>
      <c r="F5" s="16" t="s">
        <v>348</v>
      </c>
      <c r="G5" s="16" t="s">
        <v>348</v>
      </c>
      <c r="H5" s="16" t="s">
        <v>348</v>
      </c>
      <c r="I5" s="16" t="s">
        <v>348</v>
      </c>
      <c r="J5" s="16" t="s">
        <v>348</v>
      </c>
      <c r="K5" s="16" t="s">
        <v>348</v>
      </c>
      <c r="L5" s="16" t="s">
        <v>348</v>
      </c>
      <c r="M5" s="16" t="s">
        <v>348</v>
      </c>
      <c r="N5" s="16" t="s">
        <v>348</v>
      </c>
      <c r="O5" s="16" t="s">
        <v>348</v>
      </c>
      <c r="P5" s="16" t="s">
        <v>348</v>
      </c>
    </row>
    <row r="6" spans="1:16">
      <c r="A6" s="16" t="s">
        <v>344</v>
      </c>
      <c r="B6" s="17" t="s">
        <v>345</v>
      </c>
      <c r="C6" s="16" t="s">
        <v>355</v>
      </c>
      <c r="D6" s="17" t="s">
        <v>356</v>
      </c>
      <c r="E6" s="16" t="s">
        <v>348</v>
      </c>
      <c r="F6" s="16" t="s">
        <v>348</v>
      </c>
      <c r="G6" s="16" t="s">
        <v>348</v>
      </c>
      <c r="H6" s="16" t="s">
        <v>348</v>
      </c>
      <c r="I6" s="16" t="s">
        <v>348</v>
      </c>
      <c r="J6" s="16" t="s">
        <v>348</v>
      </c>
      <c r="K6" s="16" t="s">
        <v>348</v>
      </c>
      <c r="L6" s="16" t="s">
        <v>348</v>
      </c>
      <c r="M6" s="16" t="s">
        <v>348</v>
      </c>
      <c r="N6" s="16" t="s">
        <v>348</v>
      </c>
      <c r="O6" s="16" t="s">
        <v>348</v>
      </c>
      <c r="P6" s="16" t="s">
        <v>348</v>
      </c>
    </row>
    <row r="7" spans="1:16">
      <c r="A7" s="16" t="s">
        <v>344</v>
      </c>
      <c r="B7" s="17" t="s">
        <v>345</v>
      </c>
      <c r="C7" s="16" t="s">
        <v>357</v>
      </c>
      <c r="D7" s="17" t="s">
        <v>358</v>
      </c>
      <c r="E7" s="16">
        <v>14.6076653236411</v>
      </c>
      <c r="F7" s="16">
        <v>13.520785166624449</v>
      </c>
      <c r="G7" s="16">
        <v>18.974908333376671</v>
      </c>
      <c r="H7" s="16" t="s">
        <v>348</v>
      </c>
      <c r="I7" s="16" t="s">
        <v>348</v>
      </c>
      <c r="J7" s="16" t="s">
        <v>348</v>
      </c>
      <c r="K7" s="16" t="s">
        <v>348</v>
      </c>
      <c r="L7" s="16" t="s">
        <v>348</v>
      </c>
      <c r="M7" s="16" t="s">
        <v>348</v>
      </c>
      <c r="N7" s="16" t="s">
        <v>348</v>
      </c>
      <c r="O7" s="16" t="s">
        <v>348</v>
      </c>
      <c r="P7" s="16" t="s">
        <v>348</v>
      </c>
    </row>
    <row r="8" spans="1:16">
      <c r="A8" s="16" t="s">
        <v>344</v>
      </c>
      <c r="B8" s="17" t="s">
        <v>345</v>
      </c>
      <c r="C8" s="16" t="s">
        <v>359</v>
      </c>
      <c r="D8" s="17" t="s">
        <v>360</v>
      </c>
      <c r="E8" s="16">
        <v>13.451261318183059</v>
      </c>
      <c r="F8" s="16" t="s">
        <v>348</v>
      </c>
      <c r="G8" s="16" t="s">
        <v>348</v>
      </c>
      <c r="H8" s="16" t="s">
        <v>348</v>
      </c>
      <c r="I8" s="16" t="s">
        <v>348</v>
      </c>
      <c r="J8" s="16" t="s">
        <v>348</v>
      </c>
      <c r="K8" s="16" t="s">
        <v>348</v>
      </c>
      <c r="L8" s="16" t="s">
        <v>348</v>
      </c>
      <c r="M8" s="16" t="s">
        <v>348</v>
      </c>
      <c r="N8" s="16" t="s">
        <v>348</v>
      </c>
      <c r="O8" s="16" t="s">
        <v>348</v>
      </c>
      <c r="P8" s="16" t="s">
        <v>348</v>
      </c>
    </row>
    <row r="9" spans="1:16">
      <c r="A9" s="16" t="s">
        <v>344</v>
      </c>
      <c r="B9" s="17" t="s">
        <v>345</v>
      </c>
      <c r="C9" s="16" t="s">
        <v>361</v>
      </c>
      <c r="D9" s="17" t="s">
        <v>362</v>
      </c>
      <c r="E9" s="16">
        <v>12.09395991243094</v>
      </c>
      <c r="F9" s="16">
        <v>13.470151851445721</v>
      </c>
      <c r="G9" s="16">
        <v>14.00799842459125</v>
      </c>
      <c r="H9" s="16" t="s">
        <v>348</v>
      </c>
      <c r="I9" s="16" t="s">
        <v>348</v>
      </c>
      <c r="J9" s="16" t="s">
        <v>348</v>
      </c>
      <c r="K9" s="16" t="s">
        <v>348</v>
      </c>
      <c r="L9" s="16" t="s">
        <v>348</v>
      </c>
      <c r="M9" s="16" t="s">
        <v>348</v>
      </c>
      <c r="N9" s="16" t="s">
        <v>348</v>
      </c>
      <c r="O9" s="16" t="s">
        <v>348</v>
      </c>
      <c r="P9" s="16" t="s">
        <v>348</v>
      </c>
    </row>
    <row r="10" spans="1:16">
      <c r="A10" s="16" t="s">
        <v>344</v>
      </c>
      <c r="B10" s="17" t="s">
        <v>345</v>
      </c>
      <c r="C10" s="16" t="s">
        <v>363</v>
      </c>
      <c r="D10" s="17" t="s">
        <v>364</v>
      </c>
      <c r="E10" s="16">
        <v>2.828408502165829</v>
      </c>
      <c r="F10" s="16">
        <v>7.3372652017088749</v>
      </c>
      <c r="G10" s="16">
        <v>12.903110745554271</v>
      </c>
      <c r="H10" s="16" t="s">
        <v>348</v>
      </c>
      <c r="I10" s="16" t="s">
        <v>348</v>
      </c>
      <c r="J10" s="16" t="s">
        <v>348</v>
      </c>
      <c r="K10" s="16" t="s">
        <v>348</v>
      </c>
      <c r="L10" s="16" t="s">
        <v>348</v>
      </c>
      <c r="M10" s="16" t="s">
        <v>348</v>
      </c>
      <c r="N10" s="16" t="s">
        <v>348</v>
      </c>
      <c r="O10" s="16" t="s">
        <v>348</v>
      </c>
      <c r="P10" s="16" t="s">
        <v>348</v>
      </c>
    </row>
    <row r="11" spans="1:16">
      <c r="A11" s="16" t="s">
        <v>344</v>
      </c>
      <c r="B11" s="17" t="s">
        <v>345</v>
      </c>
      <c r="C11" s="16" t="s">
        <v>365</v>
      </c>
      <c r="D11" s="17" t="s">
        <v>366</v>
      </c>
      <c r="E11" s="16" t="s">
        <v>348</v>
      </c>
      <c r="F11" s="16" t="s">
        <v>348</v>
      </c>
      <c r="G11" s="16" t="s">
        <v>348</v>
      </c>
      <c r="H11" s="16" t="s">
        <v>348</v>
      </c>
      <c r="I11" s="16" t="s">
        <v>348</v>
      </c>
      <c r="J11" s="16" t="s">
        <v>348</v>
      </c>
      <c r="K11" s="16" t="s">
        <v>348</v>
      </c>
      <c r="L11" s="16" t="s">
        <v>348</v>
      </c>
      <c r="M11" s="16" t="s">
        <v>348</v>
      </c>
      <c r="N11" s="16" t="s">
        <v>348</v>
      </c>
      <c r="O11" s="16" t="s">
        <v>348</v>
      </c>
      <c r="P11" s="16" t="s">
        <v>348</v>
      </c>
    </row>
    <row r="12" spans="1:16">
      <c r="A12" s="16" t="s">
        <v>344</v>
      </c>
      <c r="B12" s="17" t="s">
        <v>345</v>
      </c>
      <c r="C12" s="16" t="s">
        <v>367</v>
      </c>
      <c r="D12" s="17" t="s">
        <v>368</v>
      </c>
      <c r="E12" s="16">
        <v>7.1485494480231981</v>
      </c>
      <c r="F12" s="16">
        <v>7.9185565424000304</v>
      </c>
      <c r="G12" s="16">
        <v>10.35734893726811</v>
      </c>
      <c r="H12" s="16">
        <v>10.149225263669679</v>
      </c>
      <c r="I12" s="16" t="s">
        <v>348</v>
      </c>
      <c r="J12" s="16" t="s">
        <v>348</v>
      </c>
      <c r="K12" s="16" t="s">
        <v>348</v>
      </c>
      <c r="L12" s="16" t="s">
        <v>348</v>
      </c>
      <c r="M12" s="16" t="s">
        <v>348</v>
      </c>
      <c r="N12" s="16" t="s">
        <v>348</v>
      </c>
      <c r="O12" s="16" t="s">
        <v>348</v>
      </c>
      <c r="P12" s="16" t="s">
        <v>348</v>
      </c>
    </row>
    <row r="13" spans="1:16">
      <c r="A13" s="16" t="s">
        <v>344</v>
      </c>
      <c r="B13" s="17" t="s">
        <v>345</v>
      </c>
      <c r="C13" s="16" t="s">
        <v>369</v>
      </c>
      <c r="D13" s="17" t="s">
        <v>370</v>
      </c>
      <c r="E13" s="16">
        <v>13.35505579884946</v>
      </c>
      <c r="F13" s="16">
        <v>14.998265046861571</v>
      </c>
      <c r="G13" s="16">
        <v>16.173164144142639</v>
      </c>
      <c r="H13" s="16">
        <v>16.043731311770099</v>
      </c>
      <c r="I13" s="16" t="s">
        <v>348</v>
      </c>
      <c r="J13" s="16" t="s">
        <v>348</v>
      </c>
      <c r="K13" s="16" t="s">
        <v>348</v>
      </c>
      <c r="L13" s="16" t="s">
        <v>348</v>
      </c>
      <c r="M13" s="16" t="s">
        <v>348</v>
      </c>
      <c r="N13" s="16" t="s">
        <v>348</v>
      </c>
      <c r="O13" s="16" t="s">
        <v>348</v>
      </c>
      <c r="P13" s="16" t="s">
        <v>348</v>
      </c>
    </row>
    <row r="14" spans="1:16">
      <c r="A14" s="16" t="s">
        <v>344</v>
      </c>
      <c r="B14" s="17" t="s">
        <v>345</v>
      </c>
      <c r="C14" s="16" t="s">
        <v>371</v>
      </c>
      <c r="D14" s="17" t="s">
        <v>372</v>
      </c>
      <c r="E14" s="16">
        <v>3.360290547887693</v>
      </c>
      <c r="F14" s="16">
        <v>3.9697715808353879</v>
      </c>
      <c r="G14" s="16">
        <v>13.791653429597799</v>
      </c>
      <c r="H14" s="16" t="s">
        <v>348</v>
      </c>
      <c r="I14" s="16" t="s">
        <v>348</v>
      </c>
      <c r="J14" s="16" t="s">
        <v>348</v>
      </c>
      <c r="K14" s="16" t="s">
        <v>348</v>
      </c>
      <c r="L14" s="16" t="s">
        <v>348</v>
      </c>
      <c r="M14" s="16" t="s">
        <v>348</v>
      </c>
      <c r="N14" s="16" t="s">
        <v>348</v>
      </c>
      <c r="O14" s="16" t="s">
        <v>348</v>
      </c>
      <c r="P14" s="16" t="s">
        <v>348</v>
      </c>
    </row>
    <row r="15" spans="1:16">
      <c r="A15" s="16" t="s">
        <v>344</v>
      </c>
      <c r="B15" s="17" t="s">
        <v>345</v>
      </c>
      <c r="C15" s="16" t="s">
        <v>373</v>
      </c>
      <c r="D15" s="17" t="s">
        <v>374</v>
      </c>
      <c r="E15" s="16">
        <v>14.13791885276598</v>
      </c>
      <c r="F15" s="16" t="s">
        <v>348</v>
      </c>
      <c r="G15" s="16" t="s">
        <v>348</v>
      </c>
      <c r="H15" s="16" t="s">
        <v>348</v>
      </c>
      <c r="I15" s="16" t="s">
        <v>348</v>
      </c>
      <c r="J15" s="16" t="s">
        <v>348</v>
      </c>
      <c r="K15" s="16" t="s">
        <v>348</v>
      </c>
      <c r="L15" s="16" t="s">
        <v>348</v>
      </c>
      <c r="M15" s="16" t="s">
        <v>348</v>
      </c>
      <c r="N15" s="16" t="s">
        <v>348</v>
      </c>
      <c r="O15" s="16" t="s">
        <v>348</v>
      </c>
      <c r="P15" s="16" t="s">
        <v>348</v>
      </c>
    </row>
    <row r="16" spans="1:16">
      <c r="A16" s="16" t="s">
        <v>344</v>
      </c>
      <c r="B16" s="17" t="s">
        <v>345</v>
      </c>
      <c r="C16" s="16" t="s">
        <v>375</v>
      </c>
      <c r="D16" s="17" t="s">
        <v>376</v>
      </c>
      <c r="E16" s="16">
        <v>4.1163163450378351</v>
      </c>
      <c r="F16" s="16">
        <v>4.6386272732741194</v>
      </c>
      <c r="G16" s="16">
        <v>5.1129062896476993</v>
      </c>
      <c r="H16" s="16" t="s">
        <v>348</v>
      </c>
      <c r="I16" s="16" t="s">
        <v>348</v>
      </c>
      <c r="J16" s="16" t="s">
        <v>348</v>
      </c>
      <c r="K16" s="16" t="s">
        <v>348</v>
      </c>
      <c r="L16" s="16" t="s">
        <v>348</v>
      </c>
      <c r="M16" s="16" t="s">
        <v>348</v>
      </c>
      <c r="N16" s="16" t="s">
        <v>348</v>
      </c>
      <c r="O16" s="16" t="s">
        <v>348</v>
      </c>
      <c r="P16" s="16" t="s">
        <v>348</v>
      </c>
    </row>
    <row r="17" spans="1:16">
      <c r="A17" s="16" t="s">
        <v>344</v>
      </c>
      <c r="B17" s="17" t="s">
        <v>345</v>
      </c>
      <c r="C17" s="16" t="s">
        <v>377</v>
      </c>
      <c r="D17" s="17" t="s">
        <v>378</v>
      </c>
      <c r="E17" s="16">
        <v>18.139493294704501</v>
      </c>
      <c r="F17" s="16">
        <v>19.987466164350771</v>
      </c>
      <c r="G17" s="16">
        <v>22.602911061648761</v>
      </c>
      <c r="H17" s="16" t="s">
        <v>348</v>
      </c>
      <c r="I17" s="16" t="s">
        <v>348</v>
      </c>
      <c r="J17" s="16" t="s">
        <v>348</v>
      </c>
      <c r="K17" s="16" t="s">
        <v>348</v>
      </c>
      <c r="L17" s="16" t="s">
        <v>348</v>
      </c>
      <c r="M17" s="16" t="s">
        <v>348</v>
      </c>
      <c r="N17" s="16" t="s">
        <v>348</v>
      </c>
      <c r="O17" s="16" t="s">
        <v>348</v>
      </c>
      <c r="P17" s="16" t="s">
        <v>348</v>
      </c>
    </row>
    <row r="18" spans="1:16">
      <c r="A18" s="16" t="s">
        <v>344</v>
      </c>
      <c r="B18" s="17" t="s">
        <v>345</v>
      </c>
      <c r="C18" s="16" t="s">
        <v>379</v>
      </c>
      <c r="D18" s="17" t="s">
        <v>380</v>
      </c>
      <c r="E18" s="16">
        <v>13.6336777074939</v>
      </c>
      <c r="F18" s="16" t="s">
        <v>348</v>
      </c>
      <c r="G18" s="16" t="s">
        <v>348</v>
      </c>
      <c r="H18" s="16" t="s">
        <v>348</v>
      </c>
      <c r="I18" s="16" t="s">
        <v>348</v>
      </c>
      <c r="J18" s="16" t="s">
        <v>348</v>
      </c>
      <c r="K18" s="16" t="s">
        <v>348</v>
      </c>
      <c r="L18" s="16" t="s">
        <v>348</v>
      </c>
      <c r="M18" s="16" t="s">
        <v>348</v>
      </c>
      <c r="N18" s="16" t="s">
        <v>348</v>
      </c>
      <c r="O18" s="16" t="s">
        <v>348</v>
      </c>
      <c r="P18" s="16" t="s">
        <v>348</v>
      </c>
    </row>
    <row r="19" spans="1:16">
      <c r="A19" s="16" t="s">
        <v>344</v>
      </c>
      <c r="B19" s="17" t="s">
        <v>345</v>
      </c>
      <c r="C19" s="16" t="s">
        <v>381</v>
      </c>
      <c r="D19" s="17" t="s">
        <v>382</v>
      </c>
      <c r="E19" s="16">
        <v>2.7661859396133361</v>
      </c>
      <c r="F19" s="16">
        <v>4.541262440996344</v>
      </c>
      <c r="G19" s="16">
        <v>9.0460525204522497</v>
      </c>
      <c r="H19" s="16" t="s">
        <v>348</v>
      </c>
      <c r="I19" s="16" t="s">
        <v>348</v>
      </c>
      <c r="J19" s="16" t="s">
        <v>348</v>
      </c>
      <c r="K19" s="16" t="s">
        <v>348</v>
      </c>
      <c r="L19" s="16" t="s">
        <v>348</v>
      </c>
      <c r="M19" s="16" t="s">
        <v>348</v>
      </c>
      <c r="N19" s="16" t="s">
        <v>348</v>
      </c>
      <c r="O19" s="16" t="s">
        <v>348</v>
      </c>
      <c r="P19" s="16" t="s">
        <v>348</v>
      </c>
    </row>
    <row r="20" spans="1:16">
      <c r="A20" s="16" t="s">
        <v>344</v>
      </c>
      <c r="B20" s="17" t="s">
        <v>345</v>
      </c>
      <c r="C20" s="16" t="s">
        <v>383</v>
      </c>
      <c r="D20" s="17" t="s">
        <v>384</v>
      </c>
      <c r="E20" s="16">
        <v>8.6532109656244192</v>
      </c>
      <c r="F20" s="16">
        <v>8.8956090144317645</v>
      </c>
      <c r="G20" s="16">
        <v>12.101500260429489</v>
      </c>
      <c r="H20" s="16">
        <v>12.262165697479279</v>
      </c>
      <c r="I20" s="16" t="s">
        <v>348</v>
      </c>
      <c r="J20" s="16" t="s">
        <v>348</v>
      </c>
      <c r="K20" s="16" t="s">
        <v>348</v>
      </c>
      <c r="L20" s="16" t="s">
        <v>348</v>
      </c>
      <c r="M20" s="16" t="s">
        <v>348</v>
      </c>
      <c r="N20" s="16" t="s">
        <v>348</v>
      </c>
      <c r="O20" s="16" t="s">
        <v>348</v>
      </c>
      <c r="P20" s="16" t="s">
        <v>348</v>
      </c>
    </row>
    <row r="21" spans="1:16">
      <c r="A21" s="16" t="s">
        <v>344</v>
      </c>
      <c r="B21" s="17" t="s">
        <v>345</v>
      </c>
      <c r="C21" s="16" t="s">
        <v>385</v>
      </c>
      <c r="D21" s="17" t="s">
        <v>386</v>
      </c>
      <c r="E21" s="16">
        <v>14.20879323222143</v>
      </c>
      <c r="F21" s="16" t="s">
        <v>348</v>
      </c>
      <c r="G21" s="16" t="s">
        <v>348</v>
      </c>
      <c r="H21" s="16" t="s">
        <v>348</v>
      </c>
      <c r="I21" s="16" t="s">
        <v>348</v>
      </c>
      <c r="J21" s="16" t="s">
        <v>348</v>
      </c>
      <c r="K21" s="16" t="s">
        <v>348</v>
      </c>
      <c r="L21" s="16" t="s">
        <v>348</v>
      </c>
      <c r="M21" s="16" t="s">
        <v>348</v>
      </c>
      <c r="N21" s="16" t="s">
        <v>348</v>
      </c>
      <c r="O21" s="16" t="s">
        <v>348</v>
      </c>
      <c r="P21" s="16" t="s">
        <v>348</v>
      </c>
    </row>
    <row r="22" spans="1:16">
      <c r="A22" s="16" t="s">
        <v>344</v>
      </c>
      <c r="B22" s="17" t="s">
        <v>345</v>
      </c>
      <c r="C22" s="16" t="s">
        <v>387</v>
      </c>
      <c r="D22" s="17" t="s">
        <v>388</v>
      </c>
      <c r="E22" s="16">
        <v>7.0164797795339284</v>
      </c>
      <c r="F22" s="16">
        <v>9.2376669929875206</v>
      </c>
      <c r="G22" s="16">
        <v>7.6854022631368339</v>
      </c>
      <c r="H22" s="16" t="s">
        <v>348</v>
      </c>
      <c r="I22" s="16" t="s">
        <v>348</v>
      </c>
      <c r="J22" s="16" t="s">
        <v>348</v>
      </c>
      <c r="K22" s="16" t="s">
        <v>348</v>
      </c>
      <c r="L22" s="16" t="s">
        <v>348</v>
      </c>
      <c r="M22" s="16" t="s">
        <v>348</v>
      </c>
      <c r="N22" s="16" t="s">
        <v>348</v>
      </c>
      <c r="O22" s="16" t="s">
        <v>348</v>
      </c>
      <c r="P22" s="16" t="s">
        <v>348</v>
      </c>
    </row>
    <row r="23" spans="1:16">
      <c r="A23" s="16" t="s">
        <v>344</v>
      </c>
      <c r="B23" s="17" t="s">
        <v>345</v>
      </c>
      <c r="C23" s="16" t="s">
        <v>389</v>
      </c>
      <c r="D23" s="17" t="s">
        <v>390</v>
      </c>
      <c r="E23" s="16" t="s">
        <v>348</v>
      </c>
      <c r="F23" s="16" t="s">
        <v>348</v>
      </c>
      <c r="G23" s="16" t="s">
        <v>348</v>
      </c>
      <c r="H23" s="16" t="s">
        <v>348</v>
      </c>
      <c r="I23" s="16" t="s">
        <v>348</v>
      </c>
      <c r="J23" s="16" t="s">
        <v>348</v>
      </c>
      <c r="K23" s="16" t="s">
        <v>348</v>
      </c>
      <c r="L23" s="16" t="s">
        <v>348</v>
      </c>
      <c r="M23" s="16" t="s">
        <v>348</v>
      </c>
      <c r="N23" s="16" t="s">
        <v>348</v>
      </c>
      <c r="O23" s="16" t="s">
        <v>348</v>
      </c>
      <c r="P23" s="16" t="s">
        <v>348</v>
      </c>
    </row>
    <row r="24" spans="1:16">
      <c r="A24" s="16" t="s">
        <v>344</v>
      </c>
      <c r="B24" s="17" t="s">
        <v>345</v>
      </c>
      <c r="C24" s="16" t="s">
        <v>391</v>
      </c>
      <c r="D24" s="17" t="s">
        <v>392</v>
      </c>
      <c r="E24" s="16">
        <v>35.913996755564163</v>
      </c>
      <c r="F24" s="16" t="s">
        <v>348</v>
      </c>
      <c r="G24" s="16" t="s">
        <v>348</v>
      </c>
      <c r="H24" s="16" t="s">
        <v>348</v>
      </c>
      <c r="I24" s="16" t="s">
        <v>348</v>
      </c>
      <c r="J24" s="16" t="s">
        <v>348</v>
      </c>
      <c r="K24" s="16" t="s">
        <v>348</v>
      </c>
      <c r="L24" s="16" t="s">
        <v>348</v>
      </c>
      <c r="M24" s="16" t="s">
        <v>348</v>
      </c>
      <c r="N24" s="16" t="s">
        <v>348</v>
      </c>
      <c r="O24" s="16" t="s">
        <v>348</v>
      </c>
      <c r="P24" s="16" t="s">
        <v>348</v>
      </c>
    </row>
    <row r="25" spans="1:16">
      <c r="A25" s="16" t="s">
        <v>344</v>
      </c>
      <c r="B25" s="17" t="s">
        <v>345</v>
      </c>
      <c r="C25" s="16" t="s">
        <v>393</v>
      </c>
      <c r="D25" s="17" t="s">
        <v>394</v>
      </c>
      <c r="E25" s="16">
        <v>13.99618974207152</v>
      </c>
      <c r="F25" s="16">
        <v>10.78358865805758</v>
      </c>
      <c r="G25" s="16">
        <v>11.526314973995611</v>
      </c>
      <c r="H25" s="16" t="s">
        <v>348</v>
      </c>
      <c r="I25" s="16" t="s">
        <v>348</v>
      </c>
      <c r="J25" s="16" t="s">
        <v>348</v>
      </c>
      <c r="K25" s="16" t="s">
        <v>348</v>
      </c>
      <c r="L25" s="16" t="s">
        <v>348</v>
      </c>
      <c r="M25" s="16" t="s">
        <v>348</v>
      </c>
      <c r="N25" s="16" t="s">
        <v>348</v>
      </c>
      <c r="O25" s="16" t="s">
        <v>348</v>
      </c>
      <c r="P25" s="16" t="s">
        <v>348</v>
      </c>
    </row>
    <row r="26" spans="1:16">
      <c r="A26" s="16" t="s">
        <v>344</v>
      </c>
      <c r="B26" s="17" t="s">
        <v>345</v>
      </c>
      <c r="C26" s="16" t="s">
        <v>395</v>
      </c>
      <c r="D26" s="17" t="s">
        <v>396</v>
      </c>
      <c r="E26" s="16">
        <v>1.5284724590694161</v>
      </c>
      <c r="F26" s="16">
        <v>7.48579118174219</v>
      </c>
      <c r="G26" s="16">
        <v>6.1250388592020588</v>
      </c>
      <c r="H26" s="16" t="s">
        <v>348</v>
      </c>
      <c r="I26" s="16" t="s">
        <v>348</v>
      </c>
      <c r="J26" s="16" t="s">
        <v>348</v>
      </c>
      <c r="K26" s="16" t="s">
        <v>348</v>
      </c>
      <c r="L26" s="16" t="s">
        <v>348</v>
      </c>
      <c r="M26" s="16" t="s">
        <v>348</v>
      </c>
      <c r="N26" s="16" t="s">
        <v>348</v>
      </c>
      <c r="O26" s="16" t="s">
        <v>348</v>
      </c>
      <c r="P26" s="16" t="s">
        <v>348</v>
      </c>
    </row>
    <row r="27" spans="1:16">
      <c r="A27" s="16" t="s">
        <v>344</v>
      </c>
      <c r="B27" s="17" t="s">
        <v>345</v>
      </c>
      <c r="C27" s="16" t="s">
        <v>397</v>
      </c>
      <c r="D27" s="17" t="s">
        <v>398</v>
      </c>
      <c r="E27" s="16">
        <v>11.275735433642341</v>
      </c>
      <c r="F27" s="16">
        <v>12.319648040361381</v>
      </c>
      <c r="G27" s="16">
        <v>13.634386656029591</v>
      </c>
      <c r="H27" s="16" t="s">
        <v>348</v>
      </c>
      <c r="I27" s="16" t="s">
        <v>348</v>
      </c>
      <c r="J27" s="16" t="s">
        <v>348</v>
      </c>
      <c r="K27" s="16" t="s">
        <v>348</v>
      </c>
      <c r="L27" s="16" t="s">
        <v>348</v>
      </c>
      <c r="M27" s="16" t="s">
        <v>348</v>
      </c>
      <c r="N27" s="16" t="s">
        <v>348</v>
      </c>
      <c r="O27" s="16" t="s">
        <v>348</v>
      </c>
      <c r="P27" s="16" t="s">
        <v>348</v>
      </c>
    </row>
    <row r="28" spans="1:16">
      <c r="A28" s="16" t="s">
        <v>344</v>
      </c>
      <c r="B28" s="17" t="s">
        <v>345</v>
      </c>
      <c r="C28" s="16" t="s">
        <v>399</v>
      </c>
      <c r="D28" s="17" t="s">
        <v>400</v>
      </c>
      <c r="E28" s="16">
        <v>13.438487877293189</v>
      </c>
      <c r="F28" s="16">
        <v>13.002378685394619</v>
      </c>
      <c r="G28" s="16">
        <v>12.65746043785199</v>
      </c>
      <c r="H28" s="16" t="s">
        <v>348</v>
      </c>
      <c r="I28" s="16" t="s">
        <v>348</v>
      </c>
      <c r="J28" s="16" t="s">
        <v>348</v>
      </c>
      <c r="K28" s="16" t="s">
        <v>348</v>
      </c>
      <c r="L28" s="16" t="s">
        <v>348</v>
      </c>
      <c r="M28" s="16" t="s">
        <v>348</v>
      </c>
      <c r="N28" s="16" t="s">
        <v>348</v>
      </c>
      <c r="O28" s="16" t="s">
        <v>348</v>
      </c>
      <c r="P28" s="16" t="s">
        <v>348</v>
      </c>
    </row>
    <row r="29" spans="1:16">
      <c r="A29" s="16" t="s">
        <v>344</v>
      </c>
      <c r="B29" s="17" t="s">
        <v>345</v>
      </c>
      <c r="C29" s="16" t="s">
        <v>401</v>
      </c>
      <c r="D29" s="17" t="s">
        <v>402</v>
      </c>
      <c r="E29" s="16" t="s">
        <v>348</v>
      </c>
      <c r="F29" s="16" t="s">
        <v>348</v>
      </c>
      <c r="G29" s="16" t="s">
        <v>348</v>
      </c>
      <c r="H29" s="16" t="s">
        <v>348</v>
      </c>
      <c r="I29" s="16" t="s">
        <v>348</v>
      </c>
      <c r="J29" s="16" t="s">
        <v>348</v>
      </c>
      <c r="K29" s="16" t="s">
        <v>348</v>
      </c>
      <c r="L29" s="16" t="s">
        <v>348</v>
      </c>
      <c r="M29" s="16" t="s">
        <v>348</v>
      </c>
      <c r="N29" s="16" t="s">
        <v>348</v>
      </c>
      <c r="O29" s="16" t="s">
        <v>348</v>
      </c>
      <c r="P29" s="16" t="s">
        <v>348</v>
      </c>
    </row>
    <row r="30" spans="1:16">
      <c r="A30" s="16" t="s">
        <v>344</v>
      </c>
      <c r="B30" s="17" t="s">
        <v>345</v>
      </c>
      <c r="C30" s="16" t="s">
        <v>403</v>
      </c>
      <c r="D30" s="17" t="s">
        <v>404</v>
      </c>
      <c r="E30" s="16">
        <v>17.46855789775239</v>
      </c>
      <c r="F30" s="16">
        <v>13.733653253838339</v>
      </c>
      <c r="G30" s="16">
        <v>9.7692910218830598</v>
      </c>
      <c r="H30" s="16" t="s">
        <v>348</v>
      </c>
      <c r="I30" s="16" t="s">
        <v>348</v>
      </c>
      <c r="J30" s="16" t="s">
        <v>348</v>
      </c>
      <c r="K30" s="16" t="s">
        <v>348</v>
      </c>
      <c r="L30" s="16" t="s">
        <v>348</v>
      </c>
      <c r="M30" s="16" t="s">
        <v>348</v>
      </c>
      <c r="N30" s="16" t="s">
        <v>348</v>
      </c>
      <c r="O30" s="16" t="s">
        <v>348</v>
      </c>
      <c r="P30" s="16" t="s">
        <v>348</v>
      </c>
    </row>
    <row r="31" spans="1:16">
      <c r="A31" s="16" t="s">
        <v>344</v>
      </c>
      <c r="B31" s="17" t="s">
        <v>345</v>
      </c>
      <c r="C31" s="16" t="s">
        <v>405</v>
      </c>
      <c r="D31" s="17" t="s">
        <v>406</v>
      </c>
      <c r="E31" s="16">
        <v>4.6153417185396153</v>
      </c>
      <c r="F31" s="16">
        <v>5.5099945496376792</v>
      </c>
      <c r="G31" s="16">
        <v>9.2582811484200018</v>
      </c>
      <c r="H31" s="16" t="s">
        <v>348</v>
      </c>
      <c r="I31" s="16" t="s">
        <v>348</v>
      </c>
      <c r="J31" s="16" t="s">
        <v>348</v>
      </c>
      <c r="K31" s="16" t="s">
        <v>348</v>
      </c>
      <c r="L31" s="16" t="s">
        <v>348</v>
      </c>
      <c r="M31" s="16" t="s">
        <v>348</v>
      </c>
      <c r="N31" s="16" t="s">
        <v>348</v>
      </c>
      <c r="O31" s="16" t="s">
        <v>348</v>
      </c>
      <c r="P31" s="16" t="s">
        <v>348</v>
      </c>
    </row>
    <row r="32" spans="1:16">
      <c r="A32" s="16" t="s">
        <v>344</v>
      </c>
      <c r="B32" s="17" t="s">
        <v>345</v>
      </c>
      <c r="C32" s="16" t="s">
        <v>407</v>
      </c>
      <c r="D32" s="17" t="s">
        <v>408</v>
      </c>
      <c r="E32" s="16" t="s">
        <v>348</v>
      </c>
      <c r="F32" s="16" t="s">
        <v>348</v>
      </c>
      <c r="G32" s="16" t="s">
        <v>348</v>
      </c>
      <c r="H32" s="16" t="s">
        <v>348</v>
      </c>
      <c r="I32" s="16" t="s">
        <v>348</v>
      </c>
      <c r="J32" s="16" t="s">
        <v>348</v>
      </c>
      <c r="K32" s="16" t="s">
        <v>348</v>
      </c>
      <c r="L32" s="16" t="s">
        <v>348</v>
      </c>
      <c r="M32" s="16" t="s">
        <v>348</v>
      </c>
      <c r="N32" s="16" t="s">
        <v>348</v>
      </c>
      <c r="O32" s="16" t="s">
        <v>348</v>
      </c>
      <c r="P32" s="16" t="s">
        <v>348</v>
      </c>
    </row>
    <row r="33" spans="1:17">
      <c r="A33" s="16" t="s">
        <v>344</v>
      </c>
      <c r="B33" s="17" t="s">
        <v>345</v>
      </c>
      <c r="C33" s="16" t="s">
        <v>409</v>
      </c>
      <c r="D33" s="17" t="s">
        <v>410</v>
      </c>
      <c r="E33" s="16" t="s">
        <v>348</v>
      </c>
      <c r="F33" s="16" t="s">
        <v>348</v>
      </c>
      <c r="G33" s="16" t="s">
        <v>348</v>
      </c>
      <c r="H33" s="16" t="s">
        <v>348</v>
      </c>
      <c r="I33" s="16" t="s">
        <v>348</v>
      </c>
      <c r="J33" s="16" t="s">
        <v>348</v>
      </c>
      <c r="K33" s="16" t="s">
        <v>348</v>
      </c>
      <c r="L33" s="16" t="s">
        <v>348</v>
      </c>
      <c r="M33" s="16" t="s">
        <v>348</v>
      </c>
      <c r="N33" s="16" t="s">
        <v>348</v>
      </c>
      <c r="O33" s="16" t="s">
        <v>348</v>
      </c>
      <c r="P33" s="16" t="s">
        <v>348</v>
      </c>
    </row>
    <row r="34" spans="1:17">
      <c r="A34" s="16" t="s">
        <v>344</v>
      </c>
      <c r="B34" s="17" t="s">
        <v>345</v>
      </c>
      <c r="C34" s="16" t="s">
        <v>411</v>
      </c>
      <c r="D34" s="17" t="s">
        <v>412</v>
      </c>
      <c r="E34" s="16">
        <v>23.895643051303459</v>
      </c>
      <c r="F34" s="16" t="s">
        <v>348</v>
      </c>
      <c r="G34" s="16" t="s">
        <v>348</v>
      </c>
      <c r="H34" s="16" t="s">
        <v>348</v>
      </c>
      <c r="I34" s="16" t="s">
        <v>348</v>
      </c>
      <c r="J34" s="16" t="s">
        <v>348</v>
      </c>
      <c r="K34" s="16" t="s">
        <v>348</v>
      </c>
      <c r="L34" s="16" t="s">
        <v>348</v>
      </c>
      <c r="M34" s="16" t="s">
        <v>348</v>
      </c>
      <c r="N34" s="16" t="s">
        <v>348</v>
      </c>
      <c r="O34" s="16" t="s">
        <v>348</v>
      </c>
      <c r="P34" s="16" t="s">
        <v>348</v>
      </c>
    </row>
    <row r="35" spans="1:17">
      <c r="A35" s="16" t="s">
        <v>344</v>
      </c>
      <c r="B35" s="17" t="s">
        <v>345</v>
      </c>
      <c r="C35" s="16" t="s">
        <v>18</v>
      </c>
      <c r="D35" s="17" t="s">
        <v>413</v>
      </c>
      <c r="E35" s="16" t="s">
        <v>348</v>
      </c>
      <c r="F35" s="16">
        <v>7.0194674141829099</v>
      </c>
      <c r="G35" s="16">
        <v>11.37221514854224</v>
      </c>
      <c r="H35" s="16" t="s">
        <v>348</v>
      </c>
      <c r="I35" s="16" t="s">
        <v>348</v>
      </c>
      <c r="J35" s="16" t="s">
        <v>348</v>
      </c>
      <c r="K35" s="16" t="s">
        <v>348</v>
      </c>
      <c r="L35" s="16" t="s">
        <v>348</v>
      </c>
      <c r="M35" s="16" t="s">
        <v>348</v>
      </c>
      <c r="N35" s="16" t="s">
        <v>348</v>
      </c>
      <c r="O35" s="16" t="s">
        <v>348</v>
      </c>
      <c r="P35" s="16" t="s">
        <v>348</v>
      </c>
      <c r="Q35" s="18">
        <f>1/F35*1000</f>
        <v>142.46095052446418</v>
      </c>
    </row>
    <row r="36" spans="1:17">
      <c r="A36" s="16" t="s">
        <v>344</v>
      </c>
      <c r="B36" s="17" t="s">
        <v>345</v>
      </c>
      <c r="C36" s="16" t="s">
        <v>414</v>
      </c>
      <c r="D36" s="17" t="s">
        <v>415</v>
      </c>
      <c r="E36" s="16">
        <v>10.277934181797731</v>
      </c>
      <c r="F36" s="16">
        <v>9.0353798870472897</v>
      </c>
      <c r="G36" s="16">
        <v>13.313378180333849</v>
      </c>
      <c r="H36" s="16" t="s">
        <v>348</v>
      </c>
      <c r="I36" s="16" t="s">
        <v>348</v>
      </c>
      <c r="J36" s="16" t="s">
        <v>348</v>
      </c>
      <c r="K36" s="16" t="s">
        <v>348</v>
      </c>
      <c r="L36" s="16" t="s">
        <v>348</v>
      </c>
      <c r="M36" s="16" t="s">
        <v>348</v>
      </c>
      <c r="N36" s="16" t="s">
        <v>348</v>
      </c>
      <c r="O36" s="16" t="s">
        <v>348</v>
      </c>
      <c r="P36" s="16" t="s">
        <v>348</v>
      </c>
    </row>
    <row r="37" spans="1:17">
      <c r="A37" s="16" t="s">
        <v>344</v>
      </c>
      <c r="B37" s="17" t="s">
        <v>345</v>
      </c>
      <c r="C37" s="16" t="s">
        <v>416</v>
      </c>
      <c r="D37" s="17" t="s">
        <v>417</v>
      </c>
      <c r="E37" s="16">
        <v>5.2962062159633456</v>
      </c>
      <c r="F37" s="16">
        <v>5.8465367980840046</v>
      </c>
      <c r="G37" s="16">
        <v>7.0435952802933333</v>
      </c>
      <c r="H37" s="16">
        <v>7.2824084568335126</v>
      </c>
      <c r="I37" s="16" t="s">
        <v>348</v>
      </c>
      <c r="J37" s="16" t="s">
        <v>348</v>
      </c>
      <c r="K37" s="16" t="s">
        <v>348</v>
      </c>
      <c r="L37" s="16" t="s">
        <v>348</v>
      </c>
      <c r="M37" s="16" t="s">
        <v>348</v>
      </c>
      <c r="N37" s="16" t="s">
        <v>348</v>
      </c>
      <c r="O37" s="16" t="s">
        <v>348</v>
      </c>
      <c r="P37" s="16" t="s">
        <v>348</v>
      </c>
    </row>
    <row r="38" spans="1:17">
      <c r="A38" s="16" t="s">
        <v>344</v>
      </c>
      <c r="B38" s="17" t="s">
        <v>345</v>
      </c>
      <c r="C38" s="16" t="s">
        <v>418</v>
      </c>
      <c r="D38" s="17" t="s">
        <v>419</v>
      </c>
      <c r="E38" s="16" t="s">
        <v>348</v>
      </c>
      <c r="F38" s="16" t="s">
        <v>348</v>
      </c>
      <c r="G38" s="16" t="s">
        <v>348</v>
      </c>
      <c r="H38" s="16" t="s">
        <v>348</v>
      </c>
      <c r="I38" s="16" t="s">
        <v>348</v>
      </c>
      <c r="J38" s="16" t="s">
        <v>348</v>
      </c>
      <c r="K38" s="16" t="s">
        <v>348</v>
      </c>
      <c r="L38" s="16" t="s">
        <v>348</v>
      </c>
      <c r="M38" s="16" t="s">
        <v>348</v>
      </c>
      <c r="N38" s="16" t="s">
        <v>348</v>
      </c>
      <c r="O38" s="16" t="s">
        <v>348</v>
      </c>
      <c r="P38" s="16" t="s">
        <v>348</v>
      </c>
    </row>
    <row r="39" spans="1:17">
      <c r="A39" s="16" t="s">
        <v>344</v>
      </c>
      <c r="B39" s="17" t="s">
        <v>345</v>
      </c>
      <c r="C39" s="16" t="s">
        <v>420</v>
      </c>
      <c r="D39" s="17" t="s">
        <v>421</v>
      </c>
      <c r="E39" s="16" t="s">
        <v>348</v>
      </c>
      <c r="F39" s="16" t="s">
        <v>348</v>
      </c>
      <c r="G39" s="16" t="s">
        <v>348</v>
      </c>
      <c r="H39" s="16" t="s">
        <v>348</v>
      </c>
      <c r="I39" s="16" t="s">
        <v>348</v>
      </c>
      <c r="J39" s="16" t="s">
        <v>348</v>
      </c>
      <c r="K39" s="16" t="s">
        <v>348</v>
      </c>
      <c r="L39" s="16" t="s">
        <v>348</v>
      </c>
      <c r="M39" s="16" t="s">
        <v>348</v>
      </c>
      <c r="N39" s="16" t="s">
        <v>348</v>
      </c>
      <c r="O39" s="16" t="s">
        <v>348</v>
      </c>
      <c r="P39" s="16" t="s">
        <v>348</v>
      </c>
    </row>
    <row r="40" spans="1:17">
      <c r="A40" s="16" t="s">
        <v>344</v>
      </c>
      <c r="B40" s="17" t="s">
        <v>345</v>
      </c>
      <c r="C40" s="16" t="s">
        <v>422</v>
      </c>
      <c r="D40" s="17" t="s">
        <v>423</v>
      </c>
      <c r="E40" s="16" t="s">
        <v>348</v>
      </c>
      <c r="F40" s="16" t="s">
        <v>348</v>
      </c>
      <c r="G40" s="16" t="s">
        <v>348</v>
      </c>
      <c r="H40" s="16" t="s">
        <v>348</v>
      </c>
      <c r="I40" s="16" t="s">
        <v>348</v>
      </c>
      <c r="J40" s="16" t="s">
        <v>348</v>
      </c>
      <c r="K40" s="16" t="s">
        <v>348</v>
      </c>
      <c r="L40" s="16" t="s">
        <v>348</v>
      </c>
      <c r="M40" s="16" t="s">
        <v>348</v>
      </c>
      <c r="N40" s="16" t="s">
        <v>348</v>
      </c>
      <c r="O40" s="16" t="s">
        <v>348</v>
      </c>
      <c r="P40" s="16" t="s">
        <v>348</v>
      </c>
    </row>
    <row r="41" spans="1:17">
      <c r="A41" s="16" t="s">
        <v>344</v>
      </c>
      <c r="B41" s="17" t="s">
        <v>345</v>
      </c>
      <c r="C41" s="16" t="s">
        <v>424</v>
      </c>
      <c r="D41" s="17" t="s">
        <v>425</v>
      </c>
      <c r="E41" s="16" t="s">
        <v>348</v>
      </c>
      <c r="F41" s="16" t="s">
        <v>348</v>
      </c>
      <c r="G41" s="16" t="s">
        <v>348</v>
      </c>
      <c r="H41" s="16" t="s">
        <v>348</v>
      </c>
      <c r="I41" s="16" t="s">
        <v>348</v>
      </c>
      <c r="J41" s="16" t="s">
        <v>348</v>
      </c>
      <c r="K41" s="16" t="s">
        <v>348</v>
      </c>
      <c r="L41" s="16" t="s">
        <v>348</v>
      </c>
      <c r="M41" s="16" t="s">
        <v>348</v>
      </c>
      <c r="N41" s="16" t="s">
        <v>348</v>
      </c>
      <c r="O41" s="16" t="s">
        <v>348</v>
      </c>
      <c r="P41" s="16" t="s">
        <v>348</v>
      </c>
    </row>
    <row r="42" spans="1:17">
      <c r="A42" s="16" t="s">
        <v>344</v>
      </c>
      <c r="B42" s="17" t="s">
        <v>345</v>
      </c>
      <c r="C42" s="16" t="s">
        <v>426</v>
      </c>
      <c r="D42" s="17" t="s">
        <v>427</v>
      </c>
      <c r="E42" s="16">
        <v>10.62248945862342</v>
      </c>
      <c r="F42" s="16">
        <v>10.809894479568939</v>
      </c>
      <c r="G42" s="16">
        <v>13.627700278514739</v>
      </c>
      <c r="H42" s="16">
        <v>13.945817717083401</v>
      </c>
      <c r="I42" s="16" t="s">
        <v>348</v>
      </c>
      <c r="J42" s="16" t="s">
        <v>348</v>
      </c>
      <c r="K42" s="16" t="s">
        <v>348</v>
      </c>
      <c r="L42" s="16" t="s">
        <v>348</v>
      </c>
      <c r="M42" s="16" t="s">
        <v>348</v>
      </c>
      <c r="N42" s="16" t="s">
        <v>348</v>
      </c>
      <c r="O42" s="16" t="s">
        <v>348</v>
      </c>
      <c r="P42" s="16" t="s">
        <v>348</v>
      </c>
    </row>
    <row r="43" spans="1:17">
      <c r="A43" s="16" t="s">
        <v>344</v>
      </c>
      <c r="B43" s="17" t="s">
        <v>345</v>
      </c>
      <c r="C43" s="16" t="s">
        <v>428</v>
      </c>
      <c r="D43" s="17" t="s">
        <v>429</v>
      </c>
      <c r="E43" s="16">
        <v>2.145487568383913</v>
      </c>
      <c r="F43" s="16">
        <v>4.4372838606856702</v>
      </c>
      <c r="G43" s="16">
        <v>6.1575234708893776</v>
      </c>
      <c r="H43" s="16" t="s">
        <v>348</v>
      </c>
      <c r="I43" s="16" t="s">
        <v>348</v>
      </c>
      <c r="J43" s="16" t="s">
        <v>348</v>
      </c>
      <c r="K43" s="16" t="s">
        <v>348</v>
      </c>
      <c r="L43" s="16" t="s">
        <v>348</v>
      </c>
      <c r="M43" s="16" t="s">
        <v>348</v>
      </c>
      <c r="N43" s="16" t="s">
        <v>348</v>
      </c>
      <c r="O43" s="16" t="s">
        <v>348</v>
      </c>
      <c r="P43" s="16" t="s">
        <v>348</v>
      </c>
    </row>
    <row r="44" spans="1:17">
      <c r="A44" s="16" t="s">
        <v>344</v>
      </c>
      <c r="B44" s="17" t="s">
        <v>345</v>
      </c>
      <c r="C44" s="16" t="s">
        <v>430</v>
      </c>
      <c r="D44" s="17" t="s">
        <v>431</v>
      </c>
      <c r="E44" s="16">
        <v>13.367003091127289</v>
      </c>
      <c r="F44" s="16">
        <v>16.345891324281951</v>
      </c>
      <c r="G44" s="16">
        <v>22.525534007574461</v>
      </c>
      <c r="H44" s="16" t="s">
        <v>348</v>
      </c>
      <c r="I44" s="16" t="s">
        <v>348</v>
      </c>
      <c r="J44" s="16" t="s">
        <v>348</v>
      </c>
      <c r="K44" s="16" t="s">
        <v>348</v>
      </c>
      <c r="L44" s="16" t="s">
        <v>348</v>
      </c>
      <c r="M44" s="16" t="s">
        <v>348</v>
      </c>
      <c r="N44" s="16" t="s">
        <v>348</v>
      </c>
      <c r="O44" s="16" t="s">
        <v>348</v>
      </c>
      <c r="P44" s="16" t="s">
        <v>348</v>
      </c>
    </row>
    <row r="45" spans="1:17">
      <c r="A45" s="16" t="s">
        <v>344</v>
      </c>
      <c r="B45" s="17" t="s">
        <v>345</v>
      </c>
      <c r="C45" s="16" t="s">
        <v>432</v>
      </c>
      <c r="D45" s="17" t="s">
        <v>433</v>
      </c>
      <c r="E45" s="16">
        <v>75.020353766496072</v>
      </c>
      <c r="F45" s="16" t="s">
        <v>348</v>
      </c>
      <c r="G45" s="16" t="s">
        <v>348</v>
      </c>
      <c r="H45" s="16" t="s">
        <v>348</v>
      </c>
      <c r="I45" s="16" t="s">
        <v>348</v>
      </c>
      <c r="J45" s="16" t="s">
        <v>348</v>
      </c>
      <c r="K45" s="16" t="s">
        <v>348</v>
      </c>
      <c r="L45" s="16" t="s">
        <v>348</v>
      </c>
      <c r="M45" s="16" t="s">
        <v>348</v>
      </c>
      <c r="N45" s="16" t="s">
        <v>348</v>
      </c>
      <c r="O45" s="16" t="s">
        <v>348</v>
      </c>
      <c r="P45" s="16" t="s">
        <v>348</v>
      </c>
    </row>
    <row r="46" spans="1:17">
      <c r="A46" s="16" t="s">
        <v>344</v>
      </c>
      <c r="B46" s="17" t="s">
        <v>345</v>
      </c>
      <c r="C46" s="16" t="s">
        <v>434</v>
      </c>
      <c r="D46" s="17" t="s">
        <v>435</v>
      </c>
      <c r="E46" s="16">
        <v>6.7533113723391009</v>
      </c>
      <c r="F46" s="16">
        <v>3.2204431292267701</v>
      </c>
      <c r="G46" s="16">
        <v>3.3460637737905232</v>
      </c>
      <c r="H46" s="16" t="s">
        <v>348</v>
      </c>
      <c r="I46" s="16" t="s">
        <v>348</v>
      </c>
      <c r="J46" s="16" t="s">
        <v>348</v>
      </c>
      <c r="K46" s="16" t="s">
        <v>348</v>
      </c>
      <c r="L46" s="16" t="s">
        <v>348</v>
      </c>
      <c r="M46" s="16" t="s">
        <v>348</v>
      </c>
      <c r="N46" s="16" t="s">
        <v>348</v>
      </c>
      <c r="O46" s="16" t="s">
        <v>348</v>
      </c>
      <c r="P46" s="16" t="s">
        <v>348</v>
      </c>
    </row>
    <row r="47" spans="1:17">
      <c r="A47" s="16" t="s">
        <v>344</v>
      </c>
      <c r="B47" s="17" t="s">
        <v>345</v>
      </c>
      <c r="C47" s="16" t="s">
        <v>436</v>
      </c>
      <c r="D47" s="17" t="s">
        <v>437</v>
      </c>
      <c r="E47" s="16">
        <v>26.305137771708111</v>
      </c>
      <c r="F47" s="16">
        <v>33.608197297150532</v>
      </c>
      <c r="G47" s="16">
        <v>17.341477307271649</v>
      </c>
      <c r="H47" s="16" t="s">
        <v>348</v>
      </c>
      <c r="I47" s="16" t="s">
        <v>348</v>
      </c>
      <c r="J47" s="16" t="s">
        <v>348</v>
      </c>
      <c r="K47" s="16" t="s">
        <v>348</v>
      </c>
      <c r="L47" s="16" t="s">
        <v>348</v>
      </c>
      <c r="M47" s="16" t="s">
        <v>348</v>
      </c>
      <c r="N47" s="16" t="s">
        <v>348</v>
      </c>
      <c r="O47" s="16" t="s">
        <v>348</v>
      </c>
      <c r="P47" s="16" t="s">
        <v>348</v>
      </c>
    </row>
    <row r="48" spans="1:17">
      <c r="A48" s="16" t="s">
        <v>344</v>
      </c>
      <c r="B48" s="17" t="s">
        <v>345</v>
      </c>
      <c r="C48" s="16" t="s">
        <v>438</v>
      </c>
      <c r="D48" s="17" t="s">
        <v>439</v>
      </c>
      <c r="E48" s="16">
        <v>20.392413890055909</v>
      </c>
      <c r="F48" s="16">
        <v>19.21781120916383</v>
      </c>
      <c r="G48" s="16">
        <v>20.147298432425721</v>
      </c>
      <c r="H48" s="16" t="s">
        <v>348</v>
      </c>
      <c r="I48" s="16" t="s">
        <v>348</v>
      </c>
      <c r="J48" s="16" t="s">
        <v>348</v>
      </c>
      <c r="K48" s="16" t="s">
        <v>348</v>
      </c>
      <c r="L48" s="16" t="s">
        <v>348</v>
      </c>
      <c r="M48" s="16" t="s">
        <v>348</v>
      </c>
      <c r="N48" s="16" t="s">
        <v>348</v>
      </c>
      <c r="O48" s="16" t="s">
        <v>348</v>
      </c>
      <c r="P48" s="16" t="s">
        <v>348</v>
      </c>
    </row>
    <row r="49" spans="1:16">
      <c r="A49" s="16" t="s">
        <v>344</v>
      </c>
      <c r="B49" s="17" t="s">
        <v>345</v>
      </c>
      <c r="C49" s="16" t="s">
        <v>440</v>
      </c>
      <c r="D49" s="17" t="s">
        <v>441</v>
      </c>
      <c r="E49" s="16">
        <v>14.74378730853431</v>
      </c>
      <c r="F49" s="16">
        <v>12.61187378278624</v>
      </c>
      <c r="G49" s="16">
        <v>8.6753916664983546</v>
      </c>
      <c r="H49" s="16" t="s">
        <v>348</v>
      </c>
      <c r="I49" s="16" t="s">
        <v>348</v>
      </c>
      <c r="J49" s="16" t="s">
        <v>348</v>
      </c>
      <c r="K49" s="16" t="s">
        <v>348</v>
      </c>
      <c r="L49" s="16" t="s">
        <v>348</v>
      </c>
      <c r="M49" s="16" t="s">
        <v>348</v>
      </c>
      <c r="N49" s="16" t="s">
        <v>348</v>
      </c>
      <c r="O49" s="16" t="s">
        <v>348</v>
      </c>
      <c r="P49" s="16" t="s">
        <v>348</v>
      </c>
    </row>
    <row r="50" spans="1:16">
      <c r="A50" s="16" t="s">
        <v>344</v>
      </c>
      <c r="B50" s="17" t="s">
        <v>345</v>
      </c>
      <c r="C50" s="16" t="s">
        <v>442</v>
      </c>
      <c r="D50" s="17" t="s">
        <v>443</v>
      </c>
      <c r="E50" s="16">
        <v>11.8002535056279</v>
      </c>
      <c r="F50" s="16">
        <v>11.340809572924369</v>
      </c>
      <c r="G50" s="16">
        <v>14.853610340805091</v>
      </c>
      <c r="H50" s="16" t="s">
        <v>348</v>
      </c>
      <c r="I50" s="16" t="s">
        <v>348</v>
      </c>
      <c r="J50" s="16" t="s">
        <v>348</v>
      </c>
      <c r="K50" s="16" t="s">
        <v>348</v>
      </c>
      <c r="L50" s="16" t="s">
        <v>348</v>
      </c>
      <c r="M50" s="16" t="s">
        <v>348</v>
      </c>
      <c r="N50" s="16" t="s">
        <v>348</v>
      </c>
      <c r="O50" s="16" t="s">
        <v>348</v>
      </c>
      <c r="P50" s="16" t="s">
        <v>348</v>
      </c>
    </row>
    <row r="51" spans="1:16">
      <c r="A51" s="16" t="s">
        <v>344</v>
      </c>
      <c r="B51" s="17" t="s">
        <v>345</v>
      </c>
      <c r="C51" s="16" t="s">
        <v>444</v>
      </c>
      <c r="D51" s="17" t="s">
        <v>445</v>
      </c>
      <c r="E51" s="16" t="s">
        <v>348</v>
      </c>
      <c r="F51" s="16" t="s">
        <v>348</v>
      </c>
      <c r="G51" s="16" t="s">
        <v>348</v>
      </c>
      <c r="H51" s="16" t="s">
        <v>348</v>
      </c>
      <c r="I51" s="16" t="s">
        <v>348</v>
      </c>
      <c r="J51" s="16" t="s">
        <v>348</v>
      </c>
      <c r="K51" s="16" t="s">
        <v>348</v>
      </c>
      <c r="L51" s="16" t="s">
        <v>348</v>
      </c>
      <c r="M51" s="16" t="s">
        <v>348</v>
      </c>
      <c r="N51" s="16" t="s">
        <v>348</v>
      </c>
      <c r="O51" s="16" t="s">
        <v>348</v>
      </c>
      <c r="P51" s="16" t="s">
        <v>348</v>
      </c>
    </row>
    <row r="52" spans="1:16">
      <c r="A52" s="16" t="s">
        <v>344</v>
      </c>
      <c r="B52" s="17" t="s">
        <v>345</v>
      </c>
      <c r="C52" s="16" t="s">
        <v>446</v>
      </c>
      <c r="D52" s="17" t="s">
        <v>447</v>
      </c>
      <c r="E52" s="16" t="s">
        <v>348</v>
      </c>
      <c r="F52" s="16">
        <v>2.1823827143333761</v>
      </c>
      <c r="G52" s="16">
        <v>2.460607640483834</v>
      </c>
      <c r="H52" s="16" t="s">
        <v>348</v>
      </c>
      <c r="I52" s="16" t="s">
        <v>348</v>
      </c>
      <c r="J52" s="16" t="s">
        <v>348</v>
      </c>
      <c r="K52" s="16" t="s">
        <v>348</v>
      </c>
      <c r="L52" s="16" t="s">
        <v>348</v>
      </c>
      <c r="M52" s="16" t="s">
        <v>348</v>
      </c>
      <c r="N52" s="16" t="s">
        <v>348</v>
      </c>
      <c r="O52" s="16" t="s">
        <v>348</v>
      </c>
      <c r="P52" s="16" t="s">
        <v>348</v>
      </c>
    </row>
    <row r="53" spans="1:16">
      <c r="A53" s="16" t="s">
        <v>344</v>
      </c>
      <c r="B53" s="17" t="s">
        <v>345</v>
      </c>
      <c r="C53" s="16" t="s">
        <v>448</v>
      </c>
      <c r="D53" s="17" t="s">
        <v>449</v>
      </c>
      <c r="E53" s="16">
        <v>11.7431879236011</v>
      </c>
      <c r="F53" s="16">
        <v>11.72189827880403</v>
      </c>
      <c r="G53" s="16">
        <v>15.73373463605815</v>
      </c>
      <c r="H53" s="16" t="s">
        <v>348</v>
      </c>
      <c r="I53" s="16" t="s">
        <v>348</v>
      </c>
      <c r="J53" s="16" t="s">
        <v>348</v>
      </c>
      <c r="K53" s="16" t="s">
        <v>348</v>
      </c>
      <c r="L53" s="16" t="s">
        <v>348</v>
      </c>
      <c r="M53" s="16" t="s">
        <v>348</v>
      </c>
      <c r="N53" s="16" t="s">
        <v>348</v>
      </c>
      <c r="O53" s="16" t="s">
        <v>348</v>
      </c>
      <c r="P53" s="16" t="s">
        <v>348</v>
      </c>
    </row>
    <row r="54" spans="1:16">
      <c r="A54" s="16" t="s">
        <v>344</v>
      </c>
      <c r="B54" s="17" t="s">
        <v>345</v>
      </c>
      <c r="C54" s="16" t="s">
        <v>450</v>
      </c>
      <c r="D54" s="17" t="s">
        <v>451</v>
      </c>
      <c r="E54" s="16">
        <v>5.8147324335518382</v>
      </c>
      <c r="F54" s="16">
        <v>7.3722552908978507</v>
      </c>
      <c r="G54" s="16">
        <v>10.247916982589009</v>
      </c>
      <c r="H54" s="16">
        <v>10.888228774289249</v>
      </c>
      <c r="I54" s="16" t="s">
        <v>348</v>
      </c>
      <c r="J54" s="16" t="s">
        <v>348</v>
      </c>
      <c r="K54" s="16" t="s">
        <v>348</v>
      </c>
      <c r="L54" s="16" t="s">
        <v>348</v>
      </c>
      <c r="M54" s="16" t="s">
        <v>348</v>
      </c>
      <c r="N54" s="16" t="s">
        <v>348</v>
      </c>
      <c r="O54" s="16" t="s">
        <v>348</v>
      </c>
      <c r="P54" s="16" t="s">
        <v>348</v>
      </c>
    </row>
    <row r="55" spans="1:16">
      <c r="A55" s="16" t="s">
        <v>344</v>
      </c>
      <c r="B55" s="17" t="s">
        <v>345</v>
      </c>
      <c r="C55" s="16" t="s">
        <v>452</v>
      </c>
      <c r="D55" s="17" t="s">
        <v>453</v>
      </c>
      <c r="E55" s="16">
        <v>13.55719429789829</v>
      </c>
      <c r="F55" s="16">
        <v>16.44310823345101</v>
      </c>
      <c r="G55" s="16">
        <v>21.232602478440938</v>
      </c>
      <c r="H55" s="16">
        <v>21.954498687025939</v>
      </c>
      <c r="I55" s="16" t="s">
        <v>348</v>
      </c>
      <c r="J55" s="16" t="s">
        <v>348</v>
      </c>
      <c r="K55" s="16" t="s">
        <v>348</v>
      </c>
      <c r="L55" s="16" t="s">
        <v>348</v>
      </c>
      <c r="M55" s="16" t="s">
        <v>348</v>
      </c>
      <c r="N55" s="16" t="s">
        <v>348</v>
      </c>
      <c r="O55" s="16" t="s">
        <v>348</v>
      </c>
      <c r="P55" s="16" t="s">
        <v>348</v>
      </c>
    </row>
    <row r="56" spans="1:16">
      <c r="A56" s="16" t="s">
        <v>344</v>
      </c>
      <c r="B56" s="17" t="s">
        <v>345</v>
      </c>
      <c r="C56" s="16" t="s">
        <v>454</v>
      </c>
      <c r="D56" s="17" t="s">
        <v>455</v>
      </c>
      <c r="E56" s="16" t="s">
        <v>348</v>
      </c>
      <c r="F56" s="16" t="s">
        <v>348</v>
      </c>
      <c r="G56" s="16" t="s">
        <v>348</v>
      </c>
      <c r="H56" s="16" t="s">
        <v>348</v>
      </c>
      <c r="I56" s="16" t="s">
        <v>348</v>
      </c>
      <c r="J56" s="16" t="s">
        <v>348</v>
      </c>
      <c r="K56" s="16" t="s">
        <v>348</v>
      </c>
      <c r="L56" s="16" t="s">
        <v>348</v>
      </c>
      <c r="M56" s="16" t="s">
        <v>348</v>
      </c>
      <c r="N56" s="16" t="s">
        <v>348</v>
      </c>
      <c r="O56" s="16" t="s">
        <v>348</v>
      </c>
      <c r="P56" s="16" t="s">
        <v>348</v>
      </c>
    </row>
    <row r="57" spans="1:16">
      <c r="A57" s="16" t="s">
        <v>344</v>
      </c>
      <c r="B57" s="17" t="s">
        <v>345</v>
      </c>
      <c r="C57" s="16" t="s">
        <v>456</v>
      </c>
      <c r="D57" s="17" t="s">
        <v>457</v>
      </c>
      <c r="E57" s="16">
        <v>34.232455083629517</v>
      </c>
      <c r="F57" s="16" t="s">
        <v>348</v>
      </c>
      <c r="G57" s="16" t="s">
        <v>348</v>
      </c>
      <c r="H57" s="16" t="s">
        <v>348</v>
      </c>
      <c r="I57" s="16" t="s">
        <v>348</v>
      </c>
      <c r="J57" s="16" t="s">
        <v>348</v>
      </c>
      <c r="K57" s="16" t="s">
        <v>348</v>
      </c>
      <c r="L57" s="16" t="s">
        <v>348</v>
      </c>
      <c r="M57" s="16" t="s">
        <v>348</v>
      </c>
      <c r="N57" s="16" t="s">
        <v>348</v>
      </c>
      <c r="O57" s="16" t="s">
        <v>348</v>
      </c>
      <c r="P57" s="16" t="s">
        <v>348</v>
      </c>
    </row>
    <row r="58" spans="1:16">
      <c r="A58" s="16" t="s">
        <v>344</v>
      </c>
      <c r="B58" s="17" t="s">
        <v>345</v>
      </c>
      <c r="C58" s="16" t="s">
        <v>458</v>
      </c>
      <c r="D58" s="17" t="s">
        <v>459</v>
      </c>
      <c r="E58" s="16">
        <v>12.972862629363989</v>
      </c>
      <c r="F58" s="16">
        <v>12.87457375699605</v>
      </c>
      <c r="G58" s="16">
        <v>22.700842450067501</v>
      </c>
      <c r="H58" s="16" t="s">
        <v>348</v>
      </c>
      <c r="I58" s="16" t="s">
        <v>348</v>
      </c>
      <c r="J58" s="16" t="s">
        <v>348</v>
      </c>
      <c r="K58" s="16" t="s">
        <v>348</v>
      </c>
      <c r="L58" s="16" t="s">
        <v>348</v>
      </c>
      <c r="M58" s="16" t="s">
        <v>348</v>
      </c>
      <c r="N58" s="16" t="s">
        <v>348</v>
      </c>
      <c r="O58" s="16" t="s">
        <v>348</v>
      </c>
      <c r="P58" s="16" t="s">
        <v>348</v>
      </c>
    </row>
    <row r="59" spans="1:16">
      <c r="A59" s="16" t="s">
        <v>344</v>
      </c>
      <c r="B59" s="17" t="s">
        <v>345</v>
      </c>
      <c r="C59" s="16" t="s">
        <v>460</v>
      </c>
      <c r="D59" s="17" t="s">
        <v>461</v>
      </c>
      <c r="E59" s="16">
        <v>15.04630254548564</v>
      </c>
      <c r="F59" s="16">
        <v>13.20166693824007</v>
      </c>
      <c r="G59" s="16">
        <v>15.88458068830421</v>
      </c>
      <c r="H59" s="16" t="s">
        <v>348</v>
      </c>
      <c r="I59" s="16" t="s">
        <v>348</v>
      </c>
      <c r="J59" s="16" t="s">
        <v>348</v>
      </c>
      <c r="K59" s="16" t="s">
        <v>348</v>
      </c>
      <c r="L59" s="16" t="s">
        <v>348</v>
      </c>
      <c r="M59" s="16" t="s">
        <v>348</v>
      </c>
      <c r="N59" s="16" t="s">
        <v>348</v>
      </c>
      <c r="O59" s="16" t="s">
        <v>348</v>
      </c>
      <c r="P59" s="16" t="s">
        <v>348</v>
      </c>
    </row>
    <row r="60" spans="1:16">
      <c r="A60" s="16" t="s">
        <v>344</v>
      </c>
      <c r="B60" s="17" t="s">
        <v>345</v>
      </c>
      <c r="C60" s="16" t="s">
        <v>462</v>
      </c>
      <c r="D60" s="17" t="s">
        <v>463</v>
      </c>
      <c r="E60" s="16">
        <v>14.497568379450691</v>
      </c>
      <c r="F60" s="16">
        <v>17.97315849741997</v>
      </c>
      <c r="G60" s="16">
        <v>17.121984011455989</v>
      </c>
      <c r="H60" s="16" t="s">
        <v>348</v>
      </c>
      <c r="I60" s="16" t="s">
        <v>348</v>
      </c>
      <c r="J60" s="16" t="s">
        <v>348</v>
      </c>
      <c r="K60" s="16" t="s">
        <v>348</v>
      </c>
      <c r="L60" s="16" t="s">
        <v>348</v>
      </c>
      <c r="M60" s="16" t="s">
        <v>348</v>
      </c>
      <c r="N60" s="16" t="s">
        <v>348</v>
      </c>
      <c r="O60" s="16" t="s">
        <v>348</v>
      </c>
      <c r="P60" s="16" t="s">
        <v>348</v>
      </c>
    </row>
    <row r="61" spans="1:16">
      <c r="A61" s="16" t="s">
        <v>344</v>
      </c>
      <c r="B61" s="17" t="s">
        <v>345</v>
      </c>
      <c r="C61" s="16" t="s">
        <v>464</v>
      </c>
      <c r="D61" s="17" t="s">
        <v>465</v>
      </c>
      <c r="E61" s="16">
        <v>13.07113621131032</v>
      </c>
      <c r="F61" s="16">
        <v>11.304217999450181</v>
      </c>
      <c r="G61" s="16">
        <v>14.326729428845301</v>
      </c>
      <c r="H61" s="16" t="s">
        <v>348</v>
      </c>
      <c r="I61" s="16" t="s">
        <v>348</v>
      </c>
      <c r="J61" s="16" t="s">
        <v>348</v>
      </c>
      <c r="K61" s="16" t="s">
        <v>348</v>
      </c>
      <c r="L61" s="16" t="s">
        <v>348</v>
      </c>
      <c r="M61" s="16" t="s">
        <v>348</v>
      </c>
      <c r="N61" s="16" t="s">
        <v>348</v>
      </c>
      <c r="O61" s="16" t="s">
        <v>348</v>
      </c>
      <c r="P61" s="16" t="s">
        <v>348</v>
      </c>
    </row>
    <row r="62" spans="1:16">
      <c r="A62" s="16" t="s">
        <v>344</v>
      </c>
      <c r="B62" s="17" t="s">
        <v>345</v>
      </c>
      <c r="C62" s="16" t="s">
        <v>466</v>
      </c>
      <c r="D62" s="17" t="s">
        <v>467</v>
      </c>
      <c r="E62" s="16" t="s">
        <v>348</v>
      </c>
      <c r="F62" s="16" t="s">
        <v>348</v>
      </c>
      <c r="G62" s="16" t="s">
        <v>348</v>
      </c>
      <c r="H62" s="16" t="s">
        <v>348</v>
      </c>
      <c r="I62" s="16" t="s">
        <v>348</v>
      </c>
      <c r="J62" s="16" t="s">
        <v>348</v>
      </c>
      <c r="K62" s="16" t="s">
        <v>348</v>
      </c>
      <c r="L62" s="16" t="s">
        <v>348</v>
      </c>
      <c r="M62" s="16" t="s">
        <v>348</v>
      </c>
      <c r="N62" s="16" t="s">
        <v>348</v>
      </c>
      <c r="O62" s="16" t="s">
        <v>348</v>
      </c>
      <c r="P62" s="16" t="s">
        <v>348</v>
      </c>
    </row>
    <row r="63" spans="1:16">
      <c r="A63" s="16" t="s">
        <v>344</v>
      </c>
      <c r="B63" s="17" t="s">
        <v>345</v>
      </c>
      <c r="C63" s="16" t="s">
        <v>468</v>
      </c>
      <c r="D63" s="17" t="s">
        <v>469</v>
      </c>
      <c r="E63" s="16" t="s">
        <v>348</v>
      </c>
      <c r="F63" s="16" t="s">
        <v>348</v>
      </c>
      <c r="G63" s="16" t="s">
        <v>348</v>
      </c>
      <c r="H63" s="16" t="s">
        <v>348</v>
      </c>
      <c r="I63" s="16" t="s">
        <v>348</v>
      </c>
      <c r="J63" s="16" t="s">
        <v>348</v>
      </c>
      <c r="K63" s="16" t="s">
        <v>348</v>
      </c>
      <c r="L63" s="16" t="s">
        <v>348</v>
      </c>
      <c r="M63" s="16" t="s">
        <v>348</v>
      </c>
      <c r="N63" s="16" t="s">
        <v>348</v>
      </c>
      <c r="O63" s="16" t="s">
        <v>348</v>
      </c>
      <c r="P63" s="16" t="s">
        <v>348</v>
      </c>
    </row>
    <row r="64" spans="1:16">
      <c r="A64" s="16" t="s">
        <v>344</v>
      </c>
      <c r="B64" s="17" t="s">
        <v>345</v>
      </c>
      <c r="C64" s="16" t="s">
        <v>470</v>
      </c>
      <c r="D64" s="17" t="s">
        <v>471</v>
      </c>
      <c r="E64" s="16">
        <v>3.10337990598924</v>
      </c>
      <c r="F64" s="16">
        <v>6.1399831739005846</v>
      </c>
      <c r="G64" s="16">
        <v>7.851272984380353</v>
      </c>
      <c r="H64" s="16">
        <v>8.7931346615354471</v>
      </c>
      <c r="I64" s="16" t="s">
        <v>348</v>
      </c>
      <c r="J64" s="16" t="s">
        <v>348</v>
      </c>
      <c r="K64" s="16" t="s">
        <v>348</v>
      </c>
      <c r="L64" s="16" t="s">
        <v>348</v>
      </c>
      <c r="M64" s="16" t="s">
        <v>348</v>
      </c>
      <c r="N64" s="16" t="s">
        <v>348</v>
      </c>
      <c r="O64" s="16" t="s">
        <v>348</v>
      </c>
      <c r="P64" s="16" t="s">
        <v>348</v>
      </c>
    </row>
    <row r="65" spans="1:17">
      <c r="A65" s="16" t="s">
        <v>344</v>
      </c>
      <c r="B65" s="17" t="s">
        <v>345</v>
      </c>
      <c r="C65" s="16" t="s">
        <v>472</v>
      </c>
      <c r="D65" s="17" t="s">
        <v>473</v>
      </c>
      <c r="E65" s="16">
        <v>15.620440296881741</v>
      </c>
      <c r="F65" s="16" t="s">
        <v>348</v>
      </c>
      <c r="G65" s="16" t="s">
        <v>348</v>
      </c>
      <c r="H65" s="16" t="s">
        <v>348</v>
      </c>
      <c r="I65" s="16" t="s">
        <v>348</v>
      </c>
      <c r="J65" s="16" t="s">
        <v>348</v>
      </c>
      <c r="K65" s="16" t="s">
        <v>348</v>
      </c>
      <c r="L65" s="16" t="s">
        <v>348</v>
      </c>
      <c r="M65" s="16" t="s">
        <v>348</v>
      </c>
      <c r="N65" s="16" t="s">
        <v>348</v>
      </c>
      <c r="O65" s="16" t="s">
        <v>348</v>
      </c>
      <c r="P65" s="16" t="s">
        <v>348</v>
      </c>
    </row>
    <row r="66" spans="1:17">
      <c r="A66" s="16" t="s">
        <v>344</v>
      </c>
      <c r="B66" s="17" t="s">
        <v>345</v>
      </c>
      <c r="C66" s="16" t="s">
        <v>474</v>
      </c>
      <c r="D66" s="17" t="s">
        <v>475</v>
      </c>
      <c r="E66" s="16">
        <v>1.8151262589517481</v>
      </c>
      <c r="F66" s="16">
        <v>1.7237234491672511</v>
      </c>
      <c r="G66" s="16">
        <v>3.8072937450906101</v>
      </c>
      <c r="H66" s="16" t="s">
        <v>348</v>
      </c>
      <c r="I66" s="16" t="s">
        <v>348</v>
      </c>
      <c r="J66" s="16" t="s">
        <v>348</v>
      </c>
      <c r="K66" s="16" t="s">
        <v>348</v>
      </c>
      <c r="L66" s="16" t="s">
        <v>348</v>
      </c>
      <c r="M66" s="16" t="s">
        <v>348</v>
      </c>
      <c r="N66" s="16" t="s">
        <v>348</v>
      </c>
      <c r="O66" s="16" t="s">
        <v>348</v>
      </c>
      <c r="P66" s="16" t="s">
        <v>348</v>
      </c>
    </row>
    <row r="67" spans="1:17">
      <c r="A67" s="16" t="s">
        <v>344</v>
      </c>
      <c r="B67" s="17" t="s">
        <v>345</v>
      </c>
      <c r="C67" s="16" t="s">
        <v>476</v>
      </c>
      <c r="D67" s="17" t="s">
        <v>477</v>
      </c>
      <c r="E67" s="16" t="s">
        <v>348</v>
      </c>
      <c r="F67" s="16" t="s">
        <v>348</v>
      </c>
      <c r="G67" s="16" t="s">
        <v>348</v>
      </c>
      <c r="H67" s="16" t="s">
        <v>348</v>
      </c>
      <c r="I67" s="16" t="s">
        <v>348</v>
      </c>
      <c r="J67" s="16" t="s">
        <v>348</v>
      </c>
      <c r="K67" s="16" t="s">
        <v>348</v>
      </c>
      <c r="L67" s="16" t="s">
        <v>348</v>
      </c>
      <c r="M67" s="16" t="s">
        <v>348</v>
      </c>
      <c r="N67" s="16" t="s">
        <v>348</v>
      </c>
      <c r="O67" s="16" t="s">
        <v>348</v>
      </c>
      <c r="P67" s="16" t="s">
        <v>348</v>
      </c>
    </row>
    <row r="68" spans="1:17">
      <c r="A68" s="16" t="s">
        <v>344</v>
      </c>
      <c r="B68" s="17" t="s">
        <v>345</v>
      </c>
      <c r="C68" s="16" t="s">
        <v>478</v>
      </c>
      <c r="D68" s="17" t="s">
        <v>479</v>
      </c>
      <c r="E68" s="16">
        <v>21.989217178752899</v>
      </c>
      <c r="F68" s="16" t="s">
        <v>348</v>
      </c>
      <c r="G68" s="16" t="s">
        <v>348</v>
      </c>
      <c r="H68" s="16" t="s">
        <v>348</v>
      </c>
      <c r="I68" s="16" t="s">
        <v>348</v>
      </c>
      <c r="J68" s="16" t="s">
        <v>348</v>
      </c>
      <c r="K68" s="16" t="s">
        <v>348</v>
      </c>
      <c r="L68" s="16" t="s">
        <v>348</v>
      </c>
      <c r="M68" s="16" t="s">
        <v>348</v>
      </c>
      <c r="N68" s="16" t="s">
        <v>348</v>
      </c>
      <c r="O68" s="16" t="s">
        <v>348</v>
      </c>
      <c r="P68" s="16" t="s">
        <v>348</v>
      </c>
    </row>
    <row r="69" spans="1:17">
      <c r="A69" s="16" t="s">
        <v>344</v>
      </c>
      <c r="B69" s="17" t="s">
        <v>345</v>
      </c>
      <c r="C69" s="16" t="s">
        <v>480</v>
      </c>
      <c r="D69" s="17" t="s">
        <v>481</v>
      </c>
      <c r="E69" s="16">
        <v>6.808326079462943</v>
      </c>
      <c r="F69" s="16">
        <v>7.4893579731305024</v>
      </c>
      <c r="G69" s="16">
        <v>8.4709832266517928</v>
      </c>
      <c r="H69" s="16">
        <v>8.8957916190475537</v>
      </c>
      <c r="I69" s="16" t="s">
        <v>348</v>
      </c>
      <c r="J69" s="16" t="s">
        <v>348</v>
      </c>
      <c r="K69" s="16" t="s">
        <v>348</v>
      </c>
      <c r="L69" s="16" t="s">
        <v>348</v>
      </c>
      <c r="M69" s="16" t="s">
        <v>348</v>
      </c>
      <c r="N69" s="16" t="s">
        <v>348</v>
      </c>
      <c r="O69" s="16" t="s">
        <v>348</v>
      </c>
      <c r="P69" s="16" t="s">
        <v>348</v>
      </c>
    </row>
    <row r="70" spans="1:17">
      <c r="A70" s="16" t="s">
        <v>344</v>
      </c>
      <c r="B70" s="17" t="s">
        <v>345</v>
      </c>
      <c r="C70" s="16" t="s">
        <v>482</v>
      </c>
      <c r="D70" s="17" t="s">
        <v>483</v>
      </c>
      <c r="E70" s="16">
        <v>10.04457437290568</v>
      </c>
      <c r="F70" s="16">
        <v>11.09559906380489</v>
      </c>
      <c r="G70" s="16">
        <v>13.74142172424558</v>
      </c>
      <c r="H70" s="16">
        <v>13.71528419924617</v>
      </c>
      <c r="I70" s="16" t="s">
        <v>348</v>
      </c>
      <c r="J70" s="16" t="s">
        <v>348</v>
      </c>
      <c r="K70" s="16" t="s">
        <v>348</v>
      </c>
      <c r="L70" s="16" t="s">
        <v>348</v>
      </c>
      <c r="M70" s="16" t="s">
        <v>348</v>
      </c>
      <c r="N70" s="16" t="s">
        <v>348</v>
      </c>
      <c r="O70" s="16" t="s">
        <v>348</v>
      </c>
      <c r="P70" s="16" t="s">
        <v>348</v>
      </c>
    </row>
    <row r="71" spans="1:17">
      <c r="A71" s="16" t="s">
        <v>344</v>
      </c>
      <c r="B71" s="17" t="s">
        <v>345</v>
      </c>
      <c r="C71" s="16" t="s">
        <v>484</v>
      </c>
      <c r="D71" s="17" t="s">
        <v>485</v>
      </c>
      <c r="E71" s="16" t="s">
        <v>348</v>
      </c>
      <c r="F71" s="16" t="s">
        <v>348</v>
      </c>
      <c r="G71" s="16" t="s">
        <v>348</v>
      </c>
      <c r="H71" s="16" t="s">
        <v>348</v>
      </c>
      <c r="I71" s="16" t="s">
        <v>348</v>
      </c>
      <c r="J71" s="16" t="s">
        <v>348</v>
      </c>
      <c r="K71" s="16" t="s">
        <v>348</v>
      </c>
      <c r="L71" s="16" t="s">
        <v>348</v>
      </c>
      <c r="M71" s="16" t="s">
        <v>348</v>
      </c>
      <c r="N71" s="16" t="s">
        <v>348</v>
      </c>
      <c r="O71" s="16" t="s">
        <v>348</v>
      </c>
      <c r="P71" s="16" t="s">
        <v>348</v>
      </c>
    </row>
    <row r="72" spans="1:17">
      <c r="A72" s="16" t="s">
        <v>344</v>
      </c>
      <c r="B72" s="17" t="s">
        <v>345</v>
      </c>
      <c r="C72" s="16" t="s">
        <v>486</v>
      </c>
      <c r="D72" s="17" t="s">
        <v>487</v>
      </c>
      <c r="E72" s="16">
        <v>19.888438231526258</v>
      </c>
      <c r="F72" s="16">
        <v>18.83675825362679</v>
      </c>
      <c r="G72" s="16">
        <v>7.7996160584936511</v>
      </c>
      <c r="H72" s="16" t="s">
        <v>348</v>
      </c>
      <c r="I72" s="16" t="s">
        <v>348</v>
      </c>
      <c r="J72" s="16" t="s">
        <v>348</v>
      </c>
      <c r="K72" s="16" t="s">
        <v>348</v>
      </c>
      <c r="L72" s="16" t="s">
        <v>348</v>
      </c>
      <c r="M72" s="16" t="s">
        <v>348</v>
      </c>
      <c r="N72" s="16" t="s">
        <v>348</v>
      </c>
      <c r="O72" s="16" t="s">
        <v>348</v>
      </c>
      <c r="P72" s="16" t="s">
        <v>348</v>
      </c>
    </row>
    <row r="73" spans="1:17">
      <c r="A73" s="16" t="s">
        <v>344</v>
      </c>
      <c r="B73" s="17" t="s">
        <v>345</v>
      </c>
      <c r="C73" s="16" t="s">
        <v>488</v>
      </c>
      <c r="D73" s="17" t="s">
        <v>489</v>
      </c>
      <c r="E73" s="16">
        <v>45.296427160445432</v>
      </c>
      <c r="F73" s="16" t="s">
        <v>348</v>
      </c>
      <c r="G73" s="16" t="s">
        <v>348</v>
      </c>
      <c r="H73" s="16" t="s">
        <v>348</v>
      </c>
      <c r="I73" s="16" t="s">
        <v>348</v>
      </c>
      <c r="J73" s="16" t="s">
        <v>348</v>
      </c>
      <c r="K73" s="16" t="s">
        <v>348</v>
      </c>
      <c r="L73" s="16" t="s">
        <v>348</v>
      </c>
      <c r="M73" s="16" t="s">
        <v>348</v>
      </c>
      <c r="N73" s="16" t="s">
        <v>348</v>
      </c>
      <c r="O73" s="16" t="s">
        <v>348</v>
      </c>
      <c r="P73" s="16" t="s">
        <v>348</v>
      </c>
    </row>
    <row r="74" spans="1:17">
      <c r="A74" s="16" t="s">
        <v>344</v>
      </c>
      <c r="B74" s="17" t="s">
        <v>345</v>
      </c>
      <c r="C74" s="16" t="s">
        <v>490</v>
      </c>
      <c r="D74" s="17" t="s">
        <v>491</v>
      </c>
      <c r="E74" s="16">
        <v>4.9964329777859664</v>
      </c>
      <c r="F74" s="16">
        <v>8.1087047437895698</v>
      </c>
      <c r="G74" s="16">
        <v>12.2643799945268</v>
      </c>
      <c r="H74" s="16" t="s">
        <v>348</v>
      </c>
      <c r="I74" s="16" t="s">
        <v>348</v>
      </c>
      <c r="J74" s="16" t="s">
        <v>348</v>
      </c>
      <c r="K74" s="16" t="s">
        <v>348</v>
      </c>
      <c r="L74" s="16" t="s">
        <v>348</v>
      </c>
      <c r="M74" s="16" t="s">
        <v>348</v>
      </c>
      <c r="N74" s="16" t="s">
        <v>348</v>
      </c>
      <c r="O74" s="16" t="s">
        <v>348</v>
      </c>
      <c r="P74" s="16" t="s">
        <v>348</v>
      </c>
    </row>
    <row r="75" spans="1:17">
      <c r="A75" s="16" t="s">
        <v>344</v>
      </c>
      <c r="B75" s="17" t="s">
        <v>345</v>
      </c>
      <c r="C75" s="16" t="s">
        <v>8</v>
      </c>
      <c r="D75" s="17" t="s">
        <v>492</v>
      </c>
      <c r="E75" s="16">
        <v>9.5751683084643382</v>
      </c>
      <c r="F75" s="16">
        <v>12.19670663163644</v>
      </c>
      <c r="G75" s="16">
        <v>15.65987667708181</v>
      </c>
      <c r="H75" s="16">
        <v>15.62402583764467</v>
      </c>
      <c r="I75" s="16" t="s">
        <v>348</v>
      </c>
      <c r="J75" s="16" t="s">
        <v>348</v>
      </c>
      <c r="K75" s="16" t="s">
        <v>348</v>
      </c>
      <c r="L75" s="16" t="s">
        <v>348</v>
      </c>
      <c r="M75" s="16" t="s">
        <v>348</v>
      </c>
      <c r="N75" s="16" t="s">
        <v>348</v>
      </c>
      <c r="O75" s="16" t="s">
        <v>348</v>
      </c>
      <c r="P75" s="16" t="s">
        <v>348</v>
      </c>
      <c r="Q75" s="18">
        <f>1/F75*1000</f>
        <v>81.989345993298627</v>
      </c>
    </row>
    <row r="76" spans="1:17">
      <c r="A76" s="16" t="s">
        <v>344</v>
      </c>
      <c r="B76" s="17" t="s">
        <v>345</v>
      </c>
      <c r="C76" s="16" t="s">
        <v>493</v>
      </c>
      <c r="D76" s="17" t="s">
        <v>494</v>
      </c>
      <c r="E76" s="16">
        <v>8.1051141989184359</v>
      </c>
      <c r="F76" s="16">
        <v>10.410403179889069</v>
      </c>
      <c r="G76" s="16">
        <v>17.441980955766969</v>
      </c>
      <c r="H76" s="16" t="s">
        <v>348</v>
      </c>
      <c r="I76" s="16" t="s">
        <v>348</v>
      </c>
      <c r="J76" s="16" t="s">
        <v>348</v>
      </c>
      <c r="K76" s="16" t="s">
        <v>348</v>
      </c>
      <c r="L76" s="16" t="s">
        <v>348</v>
      </c>
      <c r="M76" s="16" t="s">
        <v>348</v>
      </c>
      <c r="N76" s="16" t="s">
        <v>348</v>
      </c>
      <c r="O76" s="16" t="s">
        <v>348</v>
      </c>
      <c r="P76" s="16" t="s">
        <v>348</v>
      </c>
    </row>
    <row r="77" spans="1:17">
      <c r="A77" s="16" t="s">
        <v>344</v>
      </c>
      <c r="B77" s="17" t="s">
        <v>345</v>
      </c>
      <c r="C77" s="16" t="s">
        <v>495</v>
      </c>
      <c r="D77" s="17" t="s">
        <v>496</v>
      </c>
      <c r="E77" s="16" t="s">
        <v>348</v>
      </c>
      <c r="F77" s="16" t="s">
        <v>348</v>
      </c>
      <c r="G77" s="16" t="s">
        <v>348</v>
      </c>
      <c r="H77" s="16" t="s">
        <v>348</v>
      </c>
      <c r="I77" s="16" t="s">
        <v>348</v>
      </c>
      <c r="J77" s="16" t="s">
        <v>348</v>
      </c>
      <c r="K77" s="16" t="s">
        <v>348</v>
      </c>
      <c r="L77" s="16" t="s">
        <v>348</v>
      </c>
      <c r="M77" s="16" t="s">
        <v>348</v>
      </c>
      <c r="N77" s="16" t="s">
        <v>348</v>
      </c>
      <c r="O77" s="16" t="s">
        <v>348</v>
      </c>
      <c r="P77" s="16" t="s">
        <v>348</v>
      </c>
    </row>
    <row r="78" spans="1:17">
      <c r="A78" s="16" t="s">
        <v>344</v>
      </c>
      <c r="B78" s="17" t="s">
        <v>345</v>
      </c>
      <c r="C78" s="16" t="s">
        <v>497</v>
      </c>
      <c r="D78" s="17" t="s">
        <v>498</v>
      </c>
      <c r="E78" s="16">
        <v>12.78942760249083</v>
      </c>
      <c r="F78" s="16">
        <v>12.510109752786761</v>
      </c>
      <c r="G78" s="16">
        <v>14.683019308105379</v>
      </c>
      <c r="H78" s="16">
        <v>14.35320440316719</v>
      </c>
      <c r="I78" s="16" t="s">
        <v>348</v>
      </c>
      <c r="J78" s="16" t="s">
        <v>348</v>
      </c>
      <c r="K78" s="16" t="s">
        <v>348</v>
      </c>
      <c r="L78" s="16" t="s">
        <v>348</v>
      </c>
      <c r="M78" s="16" t="s">
        <v>348</v>
      </c>
      <c r="N78" s="16" t="s">
        <v>348</v>
      </c>
      <c r="O78" s="16" t="s">
        <v>348</v>
      </c>
      <c r="P78" s="16" t="s">
        <v>348</v>
      </c>
    </row>
    <row r="79" spans="1:17">
      <c r="A79" s="16" t="s">
        <v>344</v>
      </c>
      <c r="B79" s="17" t="s">
        <v>345</v>
      </c>
      <c r="C79" s="16" t="s">
        <v>499</v>
      </c>
      <c r="D79" s="17" t="s">
        <v>500</v>
      </c>
      <c r="E79" s="16" t="s">
        <v>348</v>
      </c>
      <c r="F79" s="16" t="s">
        <v>348</v>
      </c>
      <c r="G79" s="16" t="s">
        <v>348</v>
      </c>
      <c r="H79" s="16" t="s">
        <v>348</v>
      </c>
      <c r="I79" s="16" t="s">
        <v>348</v>
      </c>
      <c r="J79" s="16" t="s">
        <v>348</v>
      </c>
      <c r="K79" s="16" t="s">
        <v>348</v>
      </c>
      <c r="L79" s="16" t="s">
        <v>348</v>
      </c>
      <c r="M79" s="16" t="s">
        <v>348</v>
      </c>
      <c r="N79" s="16" t="s">
        <v>348</v>
      </c>
      <c r="O79" s="16" t="s">
        <v>348</v>
      </c>
      <c r="P79" s="16" t="s">
        <v>348</v>
      </c>
    </row>
    <row r="80" spans="1:17">
      <c r="A80" s="16" t="s">
        <v>344</v>
      </c>
      <c r="B80" s="17" t="s">
        <v>345</v>
      </c>
      <c r="C80" s="16" t="s">
        <v>501</v>
      </c>
      <c r="D80" s="17" t="s">
        <v>502</v>
      </c>
      <c r="E80" s="16">
        <v>20.919756465656089</v>
      </c>
      <c r="F80" s="16" t="s">
        <v>348</v>
      </c>
      <c r="G80" s="16" t="s">
        <v>348</v>
      </c>
      <c r="H80" s="16" t="s">
        <v>348</v>
      </c>
      <c r="I80" s="16" t="s">
        <v>348</v>
      </c>
      <c r="J80" s="16" t="s">
        <v>348</v>
      </c>
      <c r="K80" s="16" t="s">
        <v>348</v>
      </c>
      <c r="L80" s="16" t="s">
        <v>348</v>
      </c>
      <c r="M80" s="16" t="s">
        <v>348</v>
      </c>
      <c r="N80" s="16" t="s">
        <v>348</v>
      </c>
      <c r="O80" s="16" t="s">
        <v>348</v>
      </c>
      <c r="P80" s="16" t="s">
        <v>348</v>
      </c>
    </row>
    <row r="81" spans="1:17">
      <c r="A81" s="16" t="s">
        <v>344</v>
      </c>
      <c r="B81" s="17" t="s">
        <v>345</v>
      </c>
      <c r="C81" s="16" t="s">
        <v>503</v>
      </c>
      <c r="D81" s="17" t="s">
        <v>504</v>
      </c>
      <c r="E81" s="16" t="s">
        <v>348</v>
      </c>
      <c r="F81" s="16" t="s">
        <v>348</v>
      </c>
      <c r="G81" s="16" t="s">
        <v>348</v>
      </c>
      <c r="H81" s="16" t="s">
        <v>348</v>
      </c>
      <c r="I81" s="16" t="s">
        <v>348</v>
      </c>
      <c r="J81" s="16" t="s">
        <v>348</v>
      </c>
      <c r="K81" s="16" t="s">
        <v>348</v>
      </c>
      <c r="L81" s="16" t="s">
        <v>348</v>
      </c>
      <c r="M81" s="16" t="s">
        <v>348</v>
      </c>
      <c r="N81" s="16" t="s">
        <v>348</v>
      </c>
      <c r="O81" s="16" t="s">
        <v>348</v>
      </c>
      <c r="P81" s="16" t="s">
        <v>348</v>
      </c>
    </row>
    <row r="82" spans="1:17">
      <c r="A82" s="16" t="s">
        <v>344</v>
      </c>
      <c r="B82" s="17" t="s">
        <v>345</v>
      </c>
      <c r="C82" s="16" t="s">
        <v>505</v>
      </c>
      <c r="D82" s="17" t="s">
        <v>506</v>
      </c>
      <c r="E82" s="16">
        <v>15.543556179430549</v>
      </c>
      <c r="F82" s="16">
        <v>14.576374362732061</v>
      </c>
      <c r="G82" s="16">
        <v>12.524958988375561</v>
      </c>
      <c r="H82" s="16" t="s">
        <v>348</v>
      </c>
      <c r="I82" s="16" t="s">
        <v>348</v>
      </c>
      <c r="J82" s="16" t="s">
        <v>348</v>
      </c>
      <c r="K82" s="16" t="s">
        <v>348</v>
      </c>
      <c r="L82" s="16" t="s">
        <v>348</v>
      </c>
      <c r="M82" s="16" t="s">
        <v>348</v>
      </c>
      <c r="N82" s="16" t="s">
        <v>348</v>
      </c>
      <c r="O82" s="16" t="s">
        <v>348</v>
      </c>
      <c r="P82" s="16" t="s">
        <v>348</v>
      </c>
    </row>
    <row r="83" spans="1:17">
      <c r="A83" s="16" t="s">
        <v>344</v>
      </c>
      <c r="B83" s="17" t="s">
        <v>345</v>
      </c>
      <c r="C83" s="16" t="s">
        <v>507</v>
      </c>
      <c r="D83" s="17" t="s">
        <v>508</v>
      </c>
      <c r="E83" s="16" t="s">
        <v>348</v>
      </c>
      <c r="F83" s="16" t="s">
        <v>348</v>
      </c>
      <c r="G83" s="16" t="s">
        <v>348</v>
      </c>
      <c r="H83" s="16" t="s">
        <v>348</v>
      </c>
      <c r="I83" s="16" t="s">
        <v>348</v>
      </c>
      <c r="J83" s="16" t="s">
        <v>348</v>
      </c>
      <c r="K83" s="16" t="s">
        <v>348</v>
      </c>
      <c r="L83" s="16" t="s">
        <v>348</v>
      </c>
      <c r="M83" s="16" t="s">
        <v>348</v>
      </c>
      <c r="N83" s="16" t="s">
        <v>348</v>
      </c>
      <c r="O83" s="16" t="s">
        <v>348</v>
      </c>
      <c r="P83" s="16" t="s">
        <v>348</v>
      </c>
    </row>
    <row r="84" spans="1:17">
      <c r="A84" s="16" t="s">
        <v>344</v>
      </c>
      <c r="B84" s="17" t="s">
        <v>345</v>
      </c>
      <c r="C84" s="16" t="s">
        <v>509</v>
      </c>
      <c r="D84" s="17" t="s">
        <v>510</v>
      </c>
      <c r="E84" s="16">
        <v>24.9638080315016</v>
      </c>
      <c r="F84" s="16" t="s">
        <v>348</v>
      </c>
      <c r="G84" s="16" t="s">
        <v>348</v>
      </c>
      <c r="H84" s="16" t="s">
        <v>348</v>
      </c>
      <c r="I84" s="16" t="s">
        <v>348</v>
      </c>
      <c r="J84" s="16" t="s">
        <v>348</v>
      </c>
      <c r="K84" s="16" t="s">
        <v>348</v>
      </c>
      <c r="L84" s="16" t="s">
        <v>348</v>
      </c>
      <c r="M84" s="16" t="s">
        <v>348</v>
      </c>
      <c r="N84" s="16" t="s">
        <v>348</v>
      </c>
      <c r="O84" s="16" t="s">
        <v>348</v>
      </c>
      <c r="P84" s="16" t="s">
        <v>348</v>
      </c>
    </row>
    <row r="85" spans="1:17">
      <c r="A85" s="16" t="s">
        <v>344</v>
      </c>
      <c r="B85" s="17" t="s">
        <v>345</v>
      </c>
      <c r="C85" s="16" t="s">
        <v>511</v>
      </c>
      <c r="D85" s="17" t="s">
        <v>512</v>
      </c>
      <c r="E85" s="16">
        <v>9.959240868293957</v>
      </c>
      <c r="F85" s="16" t="s">
        <v>348</v>
      </c>
      <c r="G85" s="16" t="s">
        <v>348</v>
      </c>
      <c r="H85" s="16" t="s">
        <v>348</v>
      </c>
      <c r="I85" s="16" t="s">
        <v>348</v>
      </c>
      <c r="J85" s="16" t="s">
        <v>348</v>
      </c>
      <c r="K85" s="16" t="s">
        <v>348</v>
      </c>
      <c r="L85" s="16" t="s">
        <v>348</v>
      </c>
      <c r="M85" s="16" t="s">
        <v>348</v>
      </c>
      <c r="N85" s="16" t="s">
        <v>348</v>
      </c>
      <c r="O85" s="16" t="s">
        <v>348</v>
      </c>
      <c r="P85" s="16" t="s">
        <v>348</v>
      </c>
    </row>
    <row r="86" spans="1:17">
      <c r="A86" s="16" t="s">
        <v>344</v>
      </c>
      <c r="B86" s="17" t="s">
        <v>345</v>
      </c>
      <c r="C86" s="16" t="s">
        <v>513</v>
      </c>
      <c r="D86" s="17" t="s">
        <v>514</v>
      </c>
      <c r="E86" s="16">
        <v>17.334582410701302</v>
      </c>
      <c r="F86" s="16">
        <v>13.450877823905209</v>
      </c>
      <c r="G86" s="16">
        <v>8.5517483342509539</v>
      </c>
      <c r="H86" s="16" t="s">
        <v>348</v>
      </c>
      <c r="I86" s="16" t="s">
        <v>348</v>
      </c>
      <c r="J86" s="16" t="s">
        <v>348</v>
      </c>
      <c r="K86" s="16" t="s">
        <v>348</v>
      </c>
      <c r="L86" s="16" t="s">
        <v>348</v>
      </c>
      <c r="M86" s="16" t="s">
        <v>348</v>
      </c>
      <c r="N86" s="16" t="s">
        <v>348</v>
      </c>
      <c r="O86" s="16" t="s">
        <v>348</v>
      </c>
      <c r="P86" s="16" t="s">
        <v>348</v>
      </c>
    </row>
    <row r="87" spans="1:17">
      <c r="A87" s="16" t="s">
        <v>344</v>
      </c>
      <c r="B87" s="17" t="s">
        <v>345</v>
      </c>
      <c r="C87" s="16" t="s">
        <v>515</v>
      </c>
      <c r="D87" s="17" t="s">
        <v>516</v>
      </c>
      <c r="E87" s="16">
        <v>9.265864994630153</v>
      </c>
      <c r="F87" s="16">
        <v>10.07171551083457</v>
      </c>
      <c r="G87" s="16">
        <v>9.6560986800208752</v>
      </c>
      <c r="H87" s="16" t="s">
        <v>348</v>
      </c>
      <c r="I87" s="16" t="s">
        <v>348</v>
      </c>
      <c r="J87" s="16" t="s">
        <v>348</v>
      </c>
      <c r="K87" s="16" t="s">
        <v>348</v>
      </c>
      <c r="L87" s="16" t="s">
        <v>348</v>
      </c>
      <c r="M87" s="16" t="s">
        <v>348</v>
      </c>
      <c r="N87" s="16" t="s">
        <v>348</v>
      </c>
      <c r="O87" s="16" t="s">
        <v>348</v>
      </c>
      <c r="P87" s="16" t="s">
        <v>348</v>
      </c>
    </row>
    <row r="88" spans="1:17">
      <c r="A88" s="16" t="s">
        <v>344</v>
      </c>
      <c r="B88" s="17" t="s">
        <v>345</v>
      </c>
      <c r="C88" s="16" t="s">
        <v>517</v>
      </c>
      <c r="D88" s="17" t="s">
        <v>518</v>
      </c>
      <c r="E88" s="16">
        <v>20.917638943087749</v>
      </c>
      <c r="F88" s="16">
        <v>19.542707191937151</v>
      </c>
      <c r="G88" s="16">
        <v>31.38304468673595</v>
      </c>
      <c r="H88" s="16" t="s">
        <v>348</v>
      </c>
      <c r="I88" s="16" t="s">
        <v>348</v>
      </c>
      <c r="J88" s="16" t="s">
        <v>348</v>
      </c>
      <c r="K88" s="16" t="s">
        <v>348</v>
      </c>
      <c r="L88" s="16" t="s">
        <v>348</v>
      </c>
      <c r="M88" s="16" t="s">
        <v>348</v>
      </c>
      <c r="N88" s="16" t="s">
        <v>348</v>
      </c>
      <c r="O88" s="16" t="s">
        <v>348</v>
      </c>
      <c r="P88" s="16" t="s">
        <v>348</v>
      </c>
    </row>
    <row r="89" spans="1:17">
      <c r="A89" s="16" t="s">
        <v>344</v>
      </c>
      <c r="B89" s="17" t="s">
        <v>345</v>
      </c>
      <c r="C89" s="16" t="s">
        <v>519</v>
      </c>
      <c r="D89" s="17" t="s">
        <v>520</v>
      </c>
      <c r="E89" s="16">
        <v>7.6588428083489601</v>
      </c>
      <c r="F89" s="16">
        <v>9.0363867414565799</v>
      </c>
      <c r="G89" s="16">
        <v>13.038790783241749</v>
      </c>
      <c r="H89" s="16">
        <v>12.895506878059489</v>
      </c>
      <c r="I89" s="16" t="s">
        <v>348</v>
      </c>
      <c r="J89" s="16" t="s">
        <v>348</v>
      </c>
      <c r="K89" s="16" t="s">
        <v>348</v>
      </c>
      <c r="L89" s="16" t="s">
        <v>348</v>
      </c>
      <c r="M89" s="16" t="s">
        <v>348</v>
      </c>
      <c r="N89" s="16" t="s">
        <v>348</v>
      </c>
      <c r="O89" s="16" t="s">
        <v>348</v>
      </c>
      <c r="P89" s="16" t="s">
        <v>348</v>
      </c>
    </row>
    <row r="90" spans="1:17">
      <c r="A90" s="16" t="s">
        <v>344</v>
      </c>
      <c r="B90" s="17" t="s">
        <v>345</v>
      </c>
      <c r="C90" s="16" t="s">
        <v>521</v>
      </c>
      <c r="D90" s="17" t="s">
        <v>522</v>
      </c>
      <c r="E90" s="16">
        <v>4.4996514334167603</v>
      </c>
      <c r="F90" s="16">
        <v>4.3032322347799772</v>
      </c>
      <c r="G90" s="16">
        <v>3.236258636741431</v>
      </c>
      <c r="H90" s="16">
        <v>3.4284764496731368</v>
      </c>
      <c r="I90" s="16" t="s">
        <v>348</v>
      </c>
      <c r="J90" s="16" t="s">
        <v>348</v>
      </c>
      <c r="K90" s="16" t="s">
        <v>348</v>
      </c>
      <c r="L90" s="16" t="s">
        <v>348</v>
      </c>
      <c r="M90" s="16" t="s">
        <v>348</v>
      </c>
      <c r="N90" s="16" t="s">
        <v>348</v>
      </c>
      <c r="O90" s="16" t="s">
        <v>348</v>
      </c>
      <c r="P90" s="16" t="s">
        <v>348</v>
      </c>
    </row>
    <row r="91" spans="1:17">
      <c r="A91" s="16" t="s">
        <v>344</v>
      </c>
      <c r="B91" s="17" t="s">
        <v>345</v>
      </c>
      <c r="C91" s="16" t="s">
        <v>11</v>
      </c>
      <c r="D91" s="17" t="s">
        <v>523</v>
      </c>
      <c r="E91" s="16">
        <v>6.233489271896401</v>
      </c>
      <c r="F91" s="16">
        <v>7.4372085817088456</v>
      </c>
      <c r="G91" s="16">
        <v>9.6738510506020923</v>
      </c>
      <c r="H91" s="16" t="s">
        <v>348</v>
      </c>
      <c r="I91" s="16" t="s">
        <v>348</v>
      </c>
      <c r="J91" s="16" t="s">
        <v>348</v>
      </c>
      <c r="K91" s="16" t="s">
        <v>348</v>
      </c>
      <c r="L91" s="16" t="s">
        <v>348</v>
      </c>
      <c r="M91" s="16" t="s">
        <v>348</v>
      </c>
      <c r="N91" s="16" t="s">
        <v>348</v>
      </c>
      <c r="O91" s="16" t="s">
        <v>348</v>
      </c>
      <c r="P91" s="16" t="s">
        <v>348</v>
      </c>
      <c r="Q91" s="18">
        <f>1/F91*1000</f>
        <v>134.45904992626015</v>
      </c>
    </row>
    <row r="92" spans="1:17">
      <c r="A92" s="16" t="s">
        <v>344</v>
      </c>
      <c r="B92" s="17" t="s">
        <v>345</v>
      </c>
      <c r="C92" s="16" t="s">
        <v>14</v>
      </c>
      <c r="D92" s="17" t="s">
        <v>524</v>
      </c>
      <c r="E92" s="16">
        <v>9.064653827663447</v>
      </c>
      <c r="F92" s="16">
        <v>8.4073264243688026</v>
      </c>
      <c r="G92" s="16">
        <v>12.058489000886601</v>
      </c>
      <c r="H92" s="16" t="s">
        <v>348</v>
      </c>
      <c r="I92" s="16" t="s">
        <v>348</v>
      </c>
      <c r="J92" s="16" t="s">
        <v>348</v>
      </c>
      <c r="K92" s="16" t="s">
        <v>348</v>
      </c>
      <c r="L92" s="16" t="s">
        <v>348</v>
      </c>
      <c r="M92" s="16" t="s">
        <v>348</v>
      </c>
      <c r="N92" s="16" t="s">
        <v>348</v>
      </c>
      <c r="O92" s="16" t="s">
        <v>348</v>
      </c>
      <c r="P92" s="16" t="s">
        <v>348</v>
      </c>
      <c r="Q92" s="18">
        <f>1/F92*1000</f>
        <v>118.94387698584893</v>
      </c>
    </row>
    <row r="93" spans="1:17">
      <c r="A93" s="16" t="s">
        <v>344</v>
      </c>
      <c r="B93" s="17" t="s">
        <v>345</v>
      </c>
      <c r="C93" s="16" t="s">
        <v>525</v>
      </c>
      <c r="D93" s="17" t="s">
        <v>526</v>
      </c>
      <c r="E93" s="16">
        <v>7.6178898304690268</v>
      </c>
      <c r="F93" s="16">
        <v>5.8892903734218951</v>
      </c>
      <c r="G93" s="16">
        <v>4.9159271236690394</v>
      </c>
      <c r="H93" s="16" t="s">
        <v>348</v>
      </c>
      <c r="I93" s="16" t="s">
        <v>348</v>
      </c>
      <c r="J93" s="16" t="s">
        <v>348</v>
      </c>
      <c r="K93" s="16" t="s">
        <v>348</v>
      </c>
      <c r="L93" s="16" t="s">
        <v>348</v>
      </c>
      <c r="M93" s="16" t="s">
        <v>348</v>
      </c>
      <c r="N93" s="16" t="s">
        <v>348</v>
      </c>
      <c r="O93" s="16" t="s">
        <v>348</v>
      </c>
      <c r="P93" s="16" t="s">
        <v>348</v>
      </c>
    </row>
    <row r="94" spans="1:17">
      <c r="A94" s="16" t="s">
        <v>344</v>
      </c>
      <c r="B94" s="17" t="s">
        <v>345</v>
      </c>
      <c r="C94" s="16" t="s">
        <v>527</v>
      </c>
      <c r="D94" s="17" t="s">
        <v>528</v>
      </c>
      <c r="E94" s="16">
        <v>9.416375168747555</v>
      </c>
      <c r="F94" s="16">
        <v>11.949134167445081</v>
      </c>
      <c r="G94" s="16">
        <v>9.9992328534118844</v>
      </c>
      <c r="H94" s="16" t="s">
        <v>348</v>
      </c>
      <c r="I94" s="16" t="s">
        <v>348</v>
      </c>
      <c r="J94" s="16" t="s">
        <v>348</v>
      </c>
      <c r="K94" s="16" t="s">
        <v>348</v>
      </c>
      <c r="L94" s="16" t="s">
        <v>348</v>
      </c>
      <c r="M94" s="16" t="s">
        <v>348</v>
      </c>
      <c r="N94" s="16" t="s">
        <v>348</v>
      </c>
      <c r="O94" s="16" t="s">
        <v>348</v>
      </c>
      <c r="P94" s="16" t="s">
        <v>348</v>
      </c>
    </row>
    <row r="95" spans="1:17">
      <c r="A95" s="16" t="s">
        <v>344</v>
      </c>
      <c r="B95" s="17" t="s">
        <v>345</v>
      </c>
      <c r="C95" s="16" t="s">
        <v>529</v>
      </c>
      <c r="D95" s="17" t="s">
        <v>530</v>
      </c>
      <c r="E95" s="16">
        <v>10.483305700242131</v>
      </c>
      <c r="F95" s="16">
        <v>14.805568182048029</v>
      </c>
      <c r="G95" s="16">
        <v>23.928196175617149</v>
      </c>
      <c r="H95" s="16">
        <v>28.717655554275812</v>
      </c>
      <c r="I95" s="16" t="s">
        <v>348</v>
      </c>
      <c r="J95" s="16" t="s">
        <v>348</v>
      </c>
      <c r="K95" s="16" t="s">
        <v>348</v>
      </c>
      <c r="L95" s="16" t="s">
        <v>348</v>
      </c>
      <c r="M95" s="16" t="s">
        <v>348</v>
      </c>
      <c r="N95" s="16" t="s">
        <v>348</v>
      </c>
      <c r="O95" s="16" t="s">
        <v>348</v>
      </c>
      <c r="P95" s="16" t="s">
        <v>348</v>
      </c>
    </row>
    <row r="96" spans="1:17">
      <c r="A96" s="16" t="s">
        <v>344</v>
      </c>
      <c r="B96" s="17" t="s">
        <v>345</v>
      </c>
      <c r="C96" s="16" t="s">
        <v>531</v>
      </c>
      <c r="D96" s="17" t="s">
        <v>532</v>
      </c>
      <c r="E96" s="16" t="s">
        <v>348</v>
      </c>
      <c r="F96" s="16" t="s">
        <v>348</v>
      </c>
      <c r="G96" s="16" t="s">
        <v>348</v>
      </c>
      <c r="H96" s="16" t="s">
        <v>348</v>
      </c>
      <c r="I96" s="16" t="s">
        <v>348</v>
      </c>
      <c r="J96" s="16" t="s">
        <v>348</v>
      </c>
      <c r="K96" s="16" t="s">
        <v>348</v>
      </c>
      <c r="L96" s="16" t="s">
        <v>348</v>
      </c>
      <c r="M96" s="16" t="s">
        <v>348</v>
      </c>
      <c r="N96" s="16" t="s">
        <v>348</v>
      </c>
      <c r="O96" s="16" t="s">
        <v>348</v>
      </c>
      <c r="P96" s="16" t="s">
        <v>348</v>
      </c>
    </row>
    <row r="97" spans="1:16">
      <c r="A97" s="16" t="s">
        <v>344</v>
      </c>
      <c r="B97" s="17" t="s">
        <v>345</v>
      </c>
      <c r="C97" s="16" t="s">
        <v>533</v>
      </c>
      <c r="D97" s="17" t="s">
        <v>534</v>
      </c>
      <c r="E97" s="16">
        <v>10.230726213655119</v>
      </c>
      <c r="F97" s="16">
        <v>11.42362268979517</v>
      </c>
      <c r="G97" s="16">
        <v>14.71086928750613</v>
      </c>
      <c r="H97" s="16">
        <v>14.674292267751611</v>
      </c>
      <c r="I97" s="16" t="s">
        <v>348</v>
      </c>
      <c r="J97" s="16" t="s">
        <v>348</v>
      </c>
      <c r="K97" s="16" t="s">
        <v>348</v>
      </c>
      <c r="L97" s="16" t="s">
        <v>348</v>
      </c>
      <c r="M97" s="16" t="s">
        <v>348</v>
      </c>
      <c r="N97" s="16" t="s">
        <v>348</v>
      </c>
      <c r="O97" s="16" t="s">
        <v>348</v>
      </c>
      <c r="P97" s="16" t="s">
        <v>348</v>
      </c>
    </row>
    <row r="98" spans="1:16">
      <c r="A98" s="16" t="s">
        <v>344</v>
      </c>
      <c r="B98" s="17" t="s">
        <v>345</v>
      </c>
      <c r="C98" s="16" t="s">
        <v>535</v>
      </c>
      <c r="D98" s="17" t="s">
        <v>536</v>
      </c>
      <c r="E98" s="16">
        <v>16.493814829634459</v>
      </c>
      <c r="F98" s="16">
        <v>16.701404516532381</v>
      </c>
      <c r="G98" s="16">
        <v>19.22680056228679</v>
      </c>
      <c r="H98" s="16">
        <v>18.889503317207421</v>
      </c>
      <c r="I98" s="16" t="s">
        <v>348</v>
      </c>
      <c r="J98" s="16" t="s">
        <v>348</v>
      </c>
      <c r="K98" s="16" t="s">
        <v>348</v>
      </c>
      <c r="L98" s="16" t="s">
        <v>348</v>
      </c>
      <c r="M98" s="16" t="s">
        <v>348</v>
      </c>
      <c r="N98" s="16" t="s">
        <v>348</v>
      </c>
      <c r="O98" s="16" t="s">
        <v>348</v>
      </c>
      <c r="P98" s="16" t="s">
        <v>348</v>
      </c>
    </row>
    <row r="99" spans="1:16">
      <c r="A99" s="16" t="s">
        <v>344</v>
      </c>
      <c r="B99" s="17" t="s">
        <v>345</v>
      </c>
      <c r="C99" s="16" t="s">
        <v>537</v>
      </c>
      <c r="D99" s="17" t="s">
        <v>538</v>
      </c>
      <c r="E99" s="16">
        <v>7.4714881577332246</v>
      </c>
      <c r="F99" s="16">
        <v>6.5093080371050291</v>
      </c>
      <c r="G99" s="16">
        <v>9.6679078113587558</v>
      </c>
      <c r="H99" s="16" t="s">
        <v>348</v>
      </c>
      <c r="I99" s="16" t="s">
        <v>348</v>
      </c>
      <c r="J99" s="16" t="s">
        <v>348</v>
      </c>
      <c r="K99" s="16" t="s">
        <v>348</v>
      </c>
      <c r="L99" s="16" t="s">
        <v>348</v>
      </c>
      <c r="M99" s="16" t="s">
        <v>348</v>
      </c>
      <c r="N99" s="16" t="s">
        <v>348</v>
      </c>
      <c r="O99" s="16" t="s">
        <v>348</v>
      </c>
      <c r="P99" s="16" t="s">
        <v>348</v>
      </c>
    </row>
    <row r="100" spans="1:16">
      <c r="A100" s="16" t="s">
        <v>344</v>
      </c>
      <c r="B100" s="17" t="s">
        <v>345</v>
      </c>
      <c r="C100" s="16" t="s">
        <v>539</v>
      </c>
      <c r="D100" s="17" t="s">
        <v>540</v>
      </c>
      <c r="E100" s="16">
        <v>9.9372168291393486</v>
      </c>
      <c r="F100" s="16">
        <v>9.5602678895398086</v>
      </c>
      <c r="G100" s="16">
        <v>12.30702039300232</v>
      </c>
      <c r="H100" s="16">
        <v>12.666387234736369</v>
      </c>
      <c r="I100" s="16" t="s">
        <v>348</v>
      </c>
      <c r="J100" s="16" t="s">
        <v>348</v>
      </c>
      <c r="K100" s="16" t="s">
        <v>348</v>
      </c>
      <c r="L100" s="16" t="s">
        <v>348</v>
      </c>
      <c r="M100" s="16" t="s">
        <v>348</v>
      </c>
      <c r="N100" s="16" t="s">
        <v>348</v>
      </c>
      <c r="O100" s="16" t="s">
        <v>348</v>
      </c>
      <c r="P100" s="16" t="s">
        <v>348</v>
      </c>
    </row>
    <row r="101" spans="1:16">
      <c r="A101" s="16" t="s">
        <v>344</v>
      </c>
      <c r="B101" s="17" t="s">
        <v>345</v>
      </c>
      <c r="C101" s="16" t="s">
        <v>541</v>
      </c>
      <c r="D101" s="17" t="s">
        <v>542</v>
      </c>
      <c r="E101" s="16">
        <v>8.3964440951956139</v>
      </c>
      <c r="F101" s="16">
        <v>8.9532801028621485</v>
      </c>
      <c r="G101" s="16">
        <v>10.90845768046333</v>
      </c>
      <c r="H101" s="16" t="s">
        <v>348</v>
      </c>
      <c r="I101" s="16" t="s">
        <v>348</v>
      </c>
      <c r="J101" s="16" t="s">
        <v>348</v>
      </c>
      <c r="K101" s="16" t="s">
        <v>348</v>
      </c>
      <c r="L101" s="16" t="s">
        <v>348</v>
      </c>
      <c r="M101" s="16" t="s">
        <v>348</v>
      </c>
      <c r="N101" s="16" t="s">
        <v>348</v>
      </c>
      <c r="O101" s="16" t="s">
        <v>348</v>
      </c>
      <c r="P101" s="16" t="s">
        <v>348</v>
      </c>
    </row>
    <row r="102" spans="1:16">
      <c r="A102" s="16" t="s">
        <v>344</v>
      </c>
      <c r="B102" s="17" t="s">
        <v>345</v>
      </c>
      <c r="C102" s="16" t="s">
        <v>543</v>
      </c>
      <c r="D102" s="17" t="s">
        <v>544</v>
      </c>
      <c r="E102" s="16">
        <v>3.9324431821797412</v>
      </c>
      <c r="F102" s="16">
        <v>5.6201073993218928</v>
      </c>
      <c r="G102" s="16">
        <v>7.2007645118383534</v>
      </c>
      <c r="H102" s="16" t="s">
        <v>348</v>
      </c>
      <c r="I102" s="16" t="s">
        <v>348</v>
      </c>
      <c r="J102" s="16" t="s">
        <v>348</v>
      </c>
      <c r="K102" s="16" t="s">
        <v>348</v>
      </c>
      <c r="L102" s="16" t="s">
        <v>348</v>
      </c>
      <c r="M102" s="16" t="s">
        <v>348</v>
      </c>
      <c r="N102" s="16" t="s">
        <v>348</v>
      </c>
      <c r="O102" s="16" t="s">
        <v>348</v>
      </c>
      <c r="P102" s="16" t="s">
        <v>348</v>
      </c>
    </row>
    <row r="103" spans="1:16">
      <c r="A103" s="16" t="s">
        <v>344</v>
      </c>
      <c r="B103" s="17" t="s">
        <v>345</v>
      </c>
      <c r="C103" s="16" t="s">
        <v>545</v>
      </c>
      <c r="D103" s="17" t="s">
        <v>546</v>
      </c>
      <c r="E103" s="16">
        <v>8.9277877046119904</v>
      </c>
      <c r="F103" s="16">
        <v>8.2228022234436473</v>
      </c>
      <c r="G103" s="16">
        <v>8.8839293408072955</v>
      </c>
      <c r="H103" s="16" t="s">
        <v>348</v>
      </c>
      <c r="I103" s="16" t="s">
        <v>348</v>
      </c>
      <c r="J103" s="16" t="s">
        <v>348</v>
      </c>
      <c r="K103" s="16" t="s">
        <v>348</v>
      </c>
      <c r="L103" s="16" t="s">
        <v>348</v>
      </c>
      <c r="M103" s="16" t="s">
        <v>348</v>
      </c>
      <c r="N103" s="16" t="s">
        <v>348</v>
      </c>
      <c r="O103" s="16" t="s">
        <v>348</v>
      </c>
      <c r="P103" s="16" t="s">
        <v>348</v>
      </c>
    </row>
    <row r="104" spans="1:16">
      <c r="A104" s="16" t="s">
        <v>344</v>
      </c>
      <c r="B104" s="17" t="s">
        <v>345</v>
      </c>
      <c r="C104" s="16" t="s">
        <v>547</v>
      </c>
      <c r="D104" s="17" t="s">
        <v>548</v>
      </c>
      <c r="E104" s="16">
        <v>23.29573165195125</v>
      </c>
      <c r="F104" s="16" t="s">
        <v>348</v>
      </c>
      <c r="G104" s="16" t="s">
        <v>348</v>
      </c>
      <c r="H104" s="16" t="s">
        <v>348</v>
      </c>
      <c r="I104" s="16" t="s">
        <v>348</v>
      </c>
      <c r="J104" s="16" t="s">
        <v>348</v>
      </c>
      <c r="K104" s="16" t="s">
        <v>348</v>
      </c>
      <c r="L104" s="16" t="s">
        <v>348</v>
      </c>
      <c r="M104" s="16" t="s">
        <v>348</v>
      </c>
      <c r="N104" s="16" t="s">
        <v>348</v>
      </c>
      <c r="O104" s="16" t="s">
        <v>348</v>
      </c>
      <c r="P104" s="16" t="s">
        <v>348</v>
      </c>
    </row>
    <row r="105" spans="1:16">
      <c r="A105" s="16" t="s">
        <v>344</v>
      </c>
      <c r="B105" s="17" t="s">
        <v>345</v>
      </c>
      <c r="C105" s="16" t="s">
        <v>549</v>
      </c>
      <c r="D105" s="17" t="s">
        <v>550</v>
      </c>
      <c r="E105" s="16" t="s">
        <v>348</v>
      </c>
      <c r="F105" s="16" t="s">
        <v>348</v>
      </c>
      <c r="G105" s="16" t="s">
        <v>348</v>
      </c>
      <c r="H105" s="16" t="s">
        <v>348</v>
      </c>
      <c r="I105" s="16" t="s">
        <v>348</v>
      </c>
      <c r="J105" s="16" t="s">
        <v>348</v>
      </c>
      <c r="K105" s="16" t="s">
        <v>348</v>
      </c>
      <c r="L105" s="16" t="s">
        <v>348</v>
      </c>
      <c r="M105" s="16" t="s">
        <v>348</v>
      </c>
      <c r="N105" s="16" t="s">
        <v>348</v>
      </c>
      <c r="O105" s="16" t="s">
        <v>348</v>
      </c>
      <c r="P105" s="16" t="s">
        <v>348</v>
      </c>
    </row>
    <row r="106" spans="1:16">
      <c r="A106" s="16" t="s">
        <v>344</v>
      </c>
      <c r="B106" s="17" t="s">
        <v>345</v>
      </c>
      <c r="C106" s="16" t="s">
        <v>551</v>
      </c>
      <c r="D106" s="17" t="s">
        <v>552</v>
      </c>
      <c r="E106" s="16">
        <v>6.3326667511933472</v>
      </c>
      <c r="F106" s="16">
        <v>6.2214887764899034</v>
      </c>
      <c r="G106" s="16">
        <v>7.7842908095248458</v>
      </c>
      <c r="H106" s="16">
        <v>7.7784115718923559</v>
      </c>
      <c r="I106" s="16" t="s">
        <v>348</v>
      </c>
      <c r="J106" s="16" t="s">
        <v>348</v>
      </c>
      <c r="K106" s="16" t="s">
        <v>348</v>
      </c>
      <c r="L106" s="16" t="s">
        <v>348</v>
      </c>
      <c r="M106" s="16" t="s">
        <v>348</v>
      </c>
      <c r="N106" s="16" t="s">
        <v>348</v>
      </c>
      <c r="O106" s="16" t="s">
        <v>348</v>
      </c>
      <c r="P106" s="16" t="s">
        <v>348</v>
      </c>
    </row>
    <row r="107" spans="1:16">
      <c r="A107" s="16" t="s">
        <v>344</v>
      </c>
      <c r="B107" s="17" t="s">
        <v>345</v>
      </c>
      <c r="C107" s="16" t="s">
        <v>553</v>
      </c>
      <c r="D107" s="17" t="s">
        <v>554</v>
      </c>
      <c r="E107" s="16" t="s">
        <v>348</v>
      </c>
      <c r="F107" s="16" t="s">
        <v>348</v>
      </c>
      <c r="G107" s="16">
        <v>7.5048271512078699</v>
      </c>
      <c r="H107" s="16" t="s">
        <v>348</v>
      </c>
      <c r="I107" s="16" t="s">
        <v>348</v>
      </c>
      <c r="J107" s="16" t="s">
        <v>348</v>
      </c>
      <c r="K107" s="16" t="s">
        <v>348</v>
      </c>
      <c r="L107" s="16" t="s">
        <v>348</v>
      </c>
      <c r="M107" s="16" t="s">
        <v>348</v>
      </c>
      <c r="N107" s="16" t="s">
        <v>348</v>
      </c>
      <c r="O107" s="16" t="s">
        <v>348</v>
      </c>
      <c r="P107" s="16" t="s">
        <v>348</v>
      </c>
    </row>
    <row r="108" spans="1:16">
      <c r="A108" s="16" t="s">
        <v>344</v>
      </c>
      <c r="B108" s="17" t="s">
        <v>345</v>
      </c>
      <c r="C108" s="16" t="s">
        <v>555</v>
      </c>
      <c r="D108" s="17" t="s">
        <v>556</v>
      </c>
      <c r="E108" s="16">
        <v>7.1647566346729246</v>
      </c>
      <c r="F108" s="16">
        <v>6.2954382048227462</v>
      </c>
      <c r="G108" s="16">
        <v>6.4667789944599692</v>
      </c>
      <c r="H108" s="16" t="s">
        <v>348</v>
      </c>
      <c r="I108" s="16" t="s">
        <v>348</v>
      </c>
      <c r="J108" s="16" t="s">
        <v>348</v>
      </c>
      <c r="K108" s="16" t="s">
        <v>348</v>
      </c>
      <c r="L108" s="16" t="s">
        <v>348</v>
      </c>
      <c r="M108" s="16" t="s">
        <v>348</v>
      </c>
      <c r="N108" s="16" t="s">
        <v>348</v>
      </c>
      <c r="O108" s="16" t="s">
        <v>348</v>
      </c>
      <c r="P108" s="16" t="s">
        <v>348</v>
      </c>
    </row>
    <row r="109" spans="1:16">
      <c r="A109" s="16" t="s">
        <v>344</v>
      </c>
      <c r="B109" s="17" t="s">
        <v>345</v>
      </c>
      <c r="C109" s="16" t="s">
        <v>557</v>
      </c>
      <c r="D109" s="17" t="s">
        <v>558</v>
      </c>
      <c r="E109" s="16">
        <v>3.5755975782864651</v>
      </c>
      <c r="F109" s="16">
        <v>7.6860884559265834</v>
      </c>
      <c r="G109" s="16">
        <v>8.5796599495329584</v>
      </c>
      <c r="H109" s="16" t="s">
        <v>348</v>
      </c>
      <c r="I109" s="16" t="s">
        <v>348</v>
      </c>
      <c r="J109" s="16" t="s">
        <v>348</v>
      </c>
      <c r="K109" s="16" t="s">
        <v>348</v>
      </c>
      <c r="L109" s="16" t="s">
        <v>348</v>
      </c>
      <c r="M109" s="16" t="s">
        <v>348</v>
      </c>
      <c r="N109" s="16" t="s">
        <v>348</v>
      </c>
      <c r="O109" s="16" t="s">
        <v>348</v>
      </c>
      <c r="P109" s="16" t="s">
        <v>348</v>
      </c>
    </row>
    <row r="110" spans="1:16">
      <c r="A110" s="16" t="s">
        <v>344</v>
      </c>
      <c r="B110" s="17" t="s">
        <v>345</v>
      </c>
      <c r="C110" s="16" t="s">
        <v>559</v>
      </c>
      <c r="D110" s="17" t="s">
        <v>560</v>
      </c>
      <c r="E110" s="16" t="s">
        <v>348</v>
      </c>
      <c r="F110" s="16" t="s">
        <v>348</v>
      </c>
      <c r="G110" s="16" t="s">
        <v>348</v>
      </c>
      <c r="H110" s="16" t="s">
        <v>348</v>
      </c>
      <c r="I110" s="16" t="s">
        <v>348</v>
      </c>
      <c r="J110" s="16" t="s">
        <v>348</v>
      </c>
      <c r="K110" s="16" t="s">
        <v>348</v>
      </c>
      <c r="L110" s="16" t="s">
        <v>348</v>
      </c>
      <c r="M110" s="16" t="s">
        <v>348</v>
      </c>
      <c r="N110" s="16" t="s">
        <v>348</v>
      </c>
      <c r="O110" s="16" t="s">
        <v>348</v>
      </c>
      <c r="P110" s="16" t="s">
        <v>348</v>
      </c>
    </row>
    <row r="111" spans="1:16">
      <c r="A111" s="16" t="s">
        <v>344</v>
      </c>
      <c r="B111" s="17" t="s">
        <v>345</v>
      </c>
      <c r="C111" s="16" t="s">
        <v>561</v>
      </c>
      <c r="D111" s="17" t="s">
        <v>562</v>
      </c>
      <c r="E111" s="16">
        <v>5.931287095168317</v>
      </c>
      <c r="F111" s="16">
        <v>8.9845488816570658</v>
      </c>
      <c r="G111" s="16">
        <v>13.421939586980249</v>
      </c>
      <c r="H111" s="16" t="s">
        <v>348</v>
      </c>
      <c r="I111" s="16" t="s">
        <v>348</v>
      </c>
      <c r="J111" s="16" t="s">
        <v>348</v>
      </c>
      <c r="K111" s="16" t="s">
        <v>348</v>
      </c>
      <c r="L111" s="16" t="s">
        <v>348</v>
      </c>
      <c r="M111" s="16" t="s">
        <v>348</v>
      </c>
      <c r="N111" s="16" t="s">
        <v>348</v>
      </c>
      <c r="O111" s="16" t="s">
        <v>348</v>
      </c>
      <c r="P111" s="16" t="s">
        <v>348</v>
      </c>
    </row>
    <row r="112" spans="1:16">
      <c r="A112" s="16" t="s">
        <v>344</v>
      </c>
      <c r="B112" s="17" t="s">
        <v>345</v>
      </c>
      <c r="C112" s="16" t="s">
        <v>563</v>
      </c>
      <c r="D112" s="17" t="s">
        <v>564</v>
      </c>
      <c r="E112" s="16">
        <v>9.8357646925725017</v>
      </c>
      <c r="F112" s="16">
        <v>10.20937711960598</v>
      </c>
      <c r="G112" s="16">
        <v>12.87913349886588</v>
      </c>
      <c r="H112" s="16" t="s">
        <v>348</v>
      </c>
      <c r="I112" s="16" t="s">
        <v>348</v>
      </c>
      <c r="J112" s="16" t="s">
        <v>348</v>
      </c>
      <c r="K112" s="16" t="s">
        <v>348</v>
      </c>
      <c r="L112" s="16" t="s">
        <v>348</v>
      </c>
      <c r="M112" s="16" t="s">
        <v>348</v>
      </c>
      <c r="N112" s="16" t="s">
        <v>348</v>
      </c>
      <c r="O112" s="16" t="s">
        <v>348</v>
      </c>
      <c r="P112" s="16" t="s">
        <v>348</v>
      </c>
    </row>
    <row r="113" spans="1:16">
      <c r="A113" s="16" t="s">
        <v>344</v>
      </c>
      <c r="B113" s="17" t="s">
        <v>345</v>
      </c>
      <c r="C113" s="16" t="s">
        <v>565</v>
      </c>
      <c r="D113" s="17" t="s">
        <v>566</v>
      </c>
      <c r="E113" s="16" t="s">
        <v>348</v>
      </c>
      <c r="F113" s="16" t="s">
        <v>348</v>
      </c>
      <c r="G113" s="16" t="s">
        <v>348</v>
      </c>
      <c r="H113" s="16" t="s">
        <v>348</v>
      </c>
      <c r="I113" s="16" t="s">
        <v>348</v>
      </c>
      <c r="J113" s="16" t="s">
        <v>348</v>
      </c>
      <c r="K113" s="16" t="s">
        <v>348</v>
      </c>
      <c r="L113" s="16" t="s">
        <v>348</v>
      </c>
      <c r="M113" s="16" t="s">
        <v>348</v>
      </c>
      <c r="N113" s="16" t="s">
        <v>348</v>
      </c>
      <c r="O113" s="16" t="s">
        <v>348</v>
      </c>
      <c r="P113" s="16" t="s">
        <v>348</v>
      </c>
    </row>
    <row r="114" spans="1:16">
      <c r="A114" s="16" t="s">
        <v>344</v>
      </c>
      <c r="B114" s="17" t="s">
        <v>345</v>
      </c>
      <c r="C114" s="16" t="s">
        <v>567</v>
      </c>
      <c r="D114" s="17" t="s">
        <v>568</v>
      </c>
      <c r="E114" s="16" t="s">
        <v>348</v>
      </c>
      <c r="F114" s="16" t="s">
        <v>348</v>
      </c>
      <c r="G114" s="16" t="s">
        <v>348</v>
      </c>
      <c r="H114" s="16" t="s">
        <v>348</v>
      </c>
      <c r="I114" s="16" t="s">
        <v>348</v>
      </c>
      <c r="J114" s="16" t="s">
        <v>348</v>
      </c>
      <c r="K114" s="16" t="s">
        <v>348</v>
      </c>
      <c r="L114" s="16" t="s">
        <v>348</v>
      </c>
      <c r="M114" s="16" t="s">
        <v>348</v>
      </c>
      <c r="N114" s="16" t="s">
        <v>348</v>
      </c>
      <c r="O114" s="16" t="s">
        <v>348</v>
      </c>
      <c r="P114" s="16" t="s">
        <v>348</v>
      </c>
    </row>
    <row r="115" spans="1:16">
      <c r="A115" s="16" t="s">
        <v>344</v>
      </c>
      <c r="B115" s="17" t="s">
        <v>345</v>
      </c>
      <c r="C115" s="16" t="s">
        <v>569</v>
      </c>
      <c r="D115" s="17" t="s">
        <v>570</v>
      </c>
      <c r="E115" s="16">
        <v>7.2133959905730753</v>
      </c>
      <c r="F115" s="16">
        <v>5.9467768262976568</v>
      </c>
      <c r="G115" s="16">
        <v>4.4946472036363492</v>
      </c>
      <c r="H115" s="16" t="s">
        <v>348</v>
      </c>
      <c r="I115" s="16" t="s">
        <v>348</v>
      </c>
      <c r="J115" s="16" t="s">
        <v>348</v>
      </c>
      <c r="K115" s="16" t="s">
        <v>348</v>
      </c>
      <c r="L115" s="16" t="s">
        <v>348</v>
      </c>
      <c r="M115" s="16" t="s">
        <v>348</v>
      </c>
      <c r="N115" s="16" t="s">
        <v>348</v>
      </c>
      <c r="O115" s="16" t="s">
        <v>348</v>
      </c>
      <c r="P115" s="16" t="s">
        <v>348</v>
      </c>
    </row>
    <row r="116" spans="1:16">
      <c r="A116" s="16" t="s">
        <v>344</v>
      </c>
      <c r="B116" s="17" t="s">
        <v>345</v>
      </c>
      <c r="C116" s="16" t="s">
        <v>571</v>
      </c>
      <c r="D116" s="17" t="s">
        <v>572</v>
      </c>
      <c r="E116" s="16" t="s">
        <v>348</v>
      </c>
      <c r="F116" s="16" t="s">
        <v>348</v>
      </c>
      <c r="G116" s="16" t="s">
        <v>348</v>
      </c>
      <c r="H116" s="16" t="s">
        <v>348</v>
      </c>
      <c r="I116" s="16" t="s">
        <v>348</v>
      </c>
      <c r="J116" s="16" t="s">
        <v>348</v>
      </c>
      <c r="K116" s="16" t="s">
        <v>348</v>
      </c>
      <c r="L116" s="16" t="s">
        <v>348</v>
      </c>
      <c r="M116" s="16" t="s">
        <v>348</v>
      </c>
      <c r="N116" s="16" t="s">
        <v>348</v>
      </c>
      <c r="O116" s="16" t="s">
        <v>348</v>
      </c>
      <c r="P116" s="16" t="s">
        <v>348</v>
      </c>
    </row>
    <row r="117" spans="1:16">
      <c r="A117" s="16" t="s">
        <v>344</v>
      </c>
      <c r="B117" s="17" t="s">
        <v>345</v>
      </c>
      <c r="C117" s="16" t="s">
        <v>573</v>
      </c>
      <c r="D117" s="17" t="s">
        <v>574</v>
      </c>
      <c r="E117" s="16">
        <v>4.7345419688765196</v>
      </c>
      <c r="F117" s="16">
        <v>7.7331454614255648</v>
      </c>
      <c r="G117" s="16">
        <v>14.242603153023421</v>
      </c>
      <c r="H117" s="16" t="s">
        <v>348</v>
      </c>
      <c r="I117" s="16" t="s">
        <v>348</v>
      </c>
      <c r="J117" s="16" t="s">
        <v>348</v>
      </c>
      <c r="K117" s="16" t="s">
        <v>348</v>
      </c>
      <c r="L117" s="16" t="s">
        <v>348</v>
      </c>
      <c r="M117" s="16" t="s">
        <v>348</v>
      </c>
      <c r="N117" s="16" t="s">
        <v>348</v>
      </c>
      <c r="O117" s="16" t="s">
        <v>348</v>
      </c>
      <c r="P117" s="16" t="s">
        <v>348</v>
      </c>
    </row>
    <row r="118" spans="1:16">
      <c r="A118" s="16" t="s">
        <v>344</v>
      </c>
      <c r="B118" s="17" t="s">
        <v>345</v>
      </c>
      <c r="C118" s="16" t="s">
        <v>575</v>
      </c>
      <c r="D118" s="17" t="s">
        <v>576</v>
      </c>
      <c r="E118" s="16">
        <v>9.1217640399784123</v>
      </c>
      <c r="F118" s="16">
        <v>14.776474699281181</v>
      </c>
      <c r="G118" s="16">
        <v>18.866225219894719</v>
      </c>
      <c r="H118" s="16">
        <v>19.744303597463489</v>
      </c>
      <c r="I118" s="16" t="s">
        <v>348</v>
      </c>
      <c r="J118" s="16" t="s">
        <v>348</v>
      </c>
      <c r="K118" s="16" t="s">
        <v>348</v>
      </c>
      <c r="L118" s="16" t="s">
        <v>348</v>
      </c>
      <c r="M118" s="16" t="s">
        <v>348</v>
      </c>
      <c r="N118" s="16" t="s">
        <v>348</v>
      </c>
      <c r="O118" s="16" t="s">
        <v>348</v>
      </c>
      <c r="P118" s="16" t="s">
        <v>348</v>
      </c>
    </row>
    <row r="119" spans="1:16">
      <c r="A119" s="16" t="s">
        <v>344</v>
      </c>
      <c r="B119" s="17" t="s">
        <v>345</v>
      </c>
      <c r="C119" s="16" t="s">
        <v>577</v>
      </c>
      <c r="D119" s="17" t="s">
        <v>578</v>
      </c>
      <c r="E119" s="16" t="s">
        <v>348</v>
      </c>
      <c r="F119" s="16" t="s">
        <v>348</v>
      </c>
      <c r="G119" s="16" t="s">
        <v>348</v>
      </c>
      <c r="H119" s="16" t="s">
        <v>348</v>
      </c>
      <c r="I119" s="16" t="s">
        <v>348</v>
      </c>
      <c r="J119" s="16" t="s">
        <v>348</v>
      </c>
      <c r="K119" s="16" t="s">
        <v>348</v>
      </c>
      <c r="L119" s="16" t="s">
        <v>348</v>
      </c>
      <c r="M119" s="16" t="s">
        <v>348</v>
      </c>
      <c r="N119" s="16" t="s">
        <v>348</v>
      </c>
      <c r="O119" s="16" t="s">
        <v>348</v>
      </c>
      <c r="P119" s="16" t="s">
        <v>348</v>
      </c>
    </row>
    <row r="120" spans="1:16">
      <c r="A120" s="16" t="s">
        <v>344</v>
      </c>
      <c r="B120" s="17" t="s">
        <v>345</v>
      </c>
      <c r="C120" s="16" t="s">
        <v>579</v>
      </c>
      <c r="D120" s="17" t="s">
        <v>580</v>
      </c>
      <c r="E120" s="16" t="s">
        <v>348</v>
      </c>
      <c r="F120" s="16" t="s">
        <v>348</v>
      </c>
      <c r="G120" s="16" t="s">
        <v>348</v>
      </c>
      <c r="H120" s="16" t="s">
        <v>348</v>
      </c>
      <c r="I120" s="16" t="s">
        <v>348</v>
      </c>
      <c r="J120" s="16" t="s">
        <v>348</v>
      </c>
      <c r="K120" s="16" t="s">
        <v>348</v>
      </c>
      <c r="L120" s="16" t="s">
        <v>348</v>
      </c>
      <c r="M120" s="16" t="s">
        <v>348</v>
      </c>
      <c r="N120" s="16" t="s">
        <v>348</v>
      </c>
      <c r="O120" s="16" t="s">
        <v>348</v>
      </c>
      <c r="P120" s="16" t="s">
        <v>348</v>
      </c>
    </row>
    <row r="121" spans="1:16">
      <c r="A121" s="16" t="s">
        <v>344</v>
      </c>
      <c r="B121" s="17" t="s">
        <v>345</v>
      </c>
      <c r="C121" s="16" t="s">
        <v>581</v>
      </c>
      <c r="D121" s="17" t="s">
        <v>582</v>
      </c>
      <c r="E121" s="16" t="s">
        <v>348</v>
      </c>
      <c r="F121" s="16" t="s">
        <v>348</v>
      </c>
      <c r="G121" s="16" t="s">
        <v>348</v>
      </c>
      <c r="H121" s="16" t="s">
        <v>348</v>
      </c>
      <c r="I121" s="16" t="s">
        <v>348</v>
      </c>
      <c r="J121" s="16" t="s">
        <v>348</v>
      </c>
      <c r="K121" s="16" t="s">
        <v>348</v>
      </c>
      <c r="L121" s="16" t="s">
        <v>348</v>
      </c>
      <c r="M121" s="16" t="s">
        <v>348</v>
      </c>
      <c r="N121" s="16" t="s">
        <v>348</v>
      </c>
      <c r="O121" s="16" t="s">
        <v>348</v>
      </c>
      <c r="P121" s="16" t="s">
        <v>348</v>
      </c>
    </row>
    <row r="122" spans="1:16">
      <c r="A122" s="16" t="s">
        <v>344</v>
      </c>
      <c r="B122" s="17" t="s">
        <v>345</v>
      </c>
      <c r="C122" s="16" t="s">
        <v>583</v>
      </c>
      <c r="D122" s="17" t="s">
        <v>584</v>
      </c>
      <c r="E122" s="16">
        <v>9.8125383880465247</v>
      </c>
      <c r="F122" s="16">
        <v>8.7066382995102796</v>
      </c>
      <c r="G122" s="16">
        <v>9.1772100500902098</v>
      </c>
      <c r="H122" s="16" t="s">
        <v>348</v>
      </c>
      <c r="I122" s="16" t="s">
        <v>348</v>
      </c>
      <c r="J122" s="16" t="s">
        <v>348</v>
      </c>
      <c r="K122" s="16" t="s">
        <v>348</v>
      </c>
      <c r="L122" s="16" t="s">
        <v>348</v>
      </c>
      <c r="M122" s="16" t="s">
        <v>348</v>
      </c>
      <c r="N122" s="16" t="s">
        <v>348</v>
      </c>
      <c r="O122" s="16" t="s">
        <v>348</v>
      </c>
      <c r="P122" s="16" t="s">
        <v>348</v>
      </c>
    </row>
    <row r="123" spans="1:16">
      <c r="A123" s="16" t="s">
        <v>344</v>
      </c>
      <c r="B123" s="17" t="s">
        <v>345</v>
      </c>
      <c r="C123" s="16" t="s">
        <v>585</v>
      </c>
      <c r="D123" s="17" t="s">
        <v>586</v>
      </c>
      <c r="E123" s="16">
        <v>39.333997918010041</v>
      </c>
      <c r="F123" s="16" t="s">
        <v>348</v>
      </c>
      <c r="G123" s="16" t="s">
        <v>348</v>
      </c>
      <c r="H123" s="16" t="s">
        <v>348</v>
      </c>
      <c r="I123" s="16" t="s">
        <v>348</v>
      </c>
      <c r="J123" s="16" t="s">
        <v>348</v>
      </c>
      <c r="K123" s="16" t="s">
        <v>348</v>
      </c>
      <c r="L123" s="16" t="s">
        <v>348</v>
      </c>
      <c r="M123" s="16" t="s">
        <v>348</v>
      </c>
      <c r="N123" s="16" t="s">
        <v>348</v>
      </c>
      <c r="O123" s="16" t="s">
        <v>348</v>
      </c>
      <c r="P123" s="16" t="s">
        <v>348</v>
      </c>
    </row>
    <row r="124" spans="1:16">
      <c r="A124" s="16" t="s">
        <v>344</v>
      </c>
      <c r="B124" s="17" t="s">
        <v>345</v>
      </c>
      <c r="C124" s="16" t="s">
        <v>587</v>
      </c>
      <c r="D124" s="17" t="s">
        <v>588</v>
      </c>
      <c r="E124" s="16" t="s">
        <v>348</v>
      </c>
      <c r="F124" s="16" t="s">
        <v>348</v>
      </c>
      <c r="G124" s="16" t="s">
        <v>348</v>
      </c>
      <c r="H124" s="16" t="s">
        <v>348</v>
      </c>
      <c r="I124" s="16" t="s">
        <v>348</v>
      </c>
      <c r="J124" s="16" t="s">
        <v>348</v>
      </c>
      <c r="K124" s="16" t="s">
        <v>348</v>
      </c>
      <c r="L124" s="16" t="s">
        <v>348</v>
      </c>
      <c r="M124" s="16" t="s">
        <v>348</v>
      </c>
      <c r="N124" s="16" t="s">
        <v>348</v>
      </c>
      <c r="O124" s="16" t="s">
        <v>348</v>
      </c>
      <c r="P124" s="16" t="s">
        <v>348</v>
      </c>
    </row>
    <row r="125" spans="1:16">
      <c r="A125" s="16" t="s">
        <v>344</v>
      </c>
      <c r="B125" s="17" t="s">
        <v>345</v>
      </c>
      <c r="C125" s="16" t="s">
        <v>589</v>
      </c>
      <c r="D125" s="17" t="s">
        <v>590</v>
      </c>
      <c r="E125" s="16">
        <v>9.2609665800430516</v>
      </c>
      <c r="F125" s="16">
        <v>17.899918383432031</v>
      </c>
      <c r="G125" s="16">
        <v>24.11352714580433</v>
      </c>
      <c r="H125" s="16" t="s">
        <v>348</v>
      </c>
      <c r="I125" s="16" t="s">
        <v>348</v>
      </c>
      <c r="J125" s="16" t="s">
        <v>348</v>
      </c>
      <c r="K125" s="16" t="s">
        <v>348</v>
      </c>
      <c r="L125" s="16" t="s">
        <v>348</v>
      </c>
      <c r="M125" s="16" t="s">
        <v>348</v>
      </c>
      <c r="N125" s="16" t="s">
        <v>348</v>
      </c>
      <c r="O125" s="16" t="s">
        <v>348</v>
      </c>
      <c r="P125" s="16" t="s">
        <v>348</v>
      </c>
    </row>
    <row r="126" spans="1:16">
      <c r="A126" s="16" t="s">
        <v>344</v>
      </c>
      <c r="B126" s="17" t="s">
        <v>345</v>
      </c>
      <c r="C126" s="16" t="s">
        <v>591</v>
      </c>
      <c r="D126" s="17" t="s">
        <v>592</v>
      </c>
      <c r="E126" s="16" t="s">
        <v>348</v>
      </c>
      <c r="F126" s="16" t="s">
        <v>348</v>
      </c>
      <c r="G126" s="16" t="s">
        <v>348</v>
      </c>
      <c r="H126" s="16" t="s">
        <v>348</v>
      </c>
      <c r="I126" s="16" t="s">
        <v>348</v>
      </c>
      <c r="J126" s="16" t="s">
        <v>348</v>
      </c>
      <c r="K126" s="16" t="s">
        <v>348</v>
      </c>
      <c r="L126" s="16" t="s">
        <v>348</v>
      </c>
      <c r="M126" s="16" t="s">
        <v>348</v>
      </c>
      <c r="N126" s="16" t="s">
        <v>348</v>
      </c>
      <c r="O126" s="16" t="s">
        <v>348</v>
      </c>
      <c r="P126" s="16" t="s">
        <v>348</v>
      </c>
    </row>
    <row r="127" spans="1:16">
      <c r="A127" s="16" t="s">
        <v>344</v>
      </c>
      <c r="B127" s="17" t="s">
        <v>345</v>
      </c>
      <c r="C127" s="16" t="s">
        <v>593</v>
      </c>
      <c r="D127" s="17" t="s">
        <v>594</v>
      </c>
      <c r="E127" s="16" t="s">
        <v>348</v>
      </c>
      <c r="F127" s="16" t="s">
        <v>348</v>
      </c>
      <c r="G127" s="16" t="s">
        <v>348</v>
      </c>
      <c r="H127" s="16" t="s">
        <v>348</v>
      </c>
      <c r="I127" s="16" t="s">
        <v>348</v>
      </c>
      <c r="J127" s="16" t="s">
        <v>348</v>
      </c>
      <c r="K127" s="16" t="s">
        <v>348</v>
      </c>
      <c r="L127" s="16" t="s">
        <v>348</v>
      </c>
      <c r="M127" s="16" t="s">
        <v>348</v>
      </c>
      <c r="N127" s="16" t="s">
        <v>348</v>
      </c>
      <c r="O127" s="16" t="s">
        <v>348</v>
      </c>
      <c r="P127" s="16" t="s">
        <v>348</v>
      </c>
    </row>
    <row r="128" spans="1:16">
      <c r="A128" s="16" t="s">
        <v>344</v>
      </c>
      <c r="B128" s="17" t="s">
        <v>345</v>
      </c>
      <c r="C128" s="16" t="s">
        <v>595</v>
      </c>
      <c r="D128" s="17" t="s">
        <v>596</v>
      </c>
      <c r="E128" s="16">
        <v>14.22242300163254</v>
      </c>
      <c r="F128" s="16">
        <v>15.65047135505684</v>
      </c>
      <c r="G128" s="16">
        <v>19.410762511130329</v>
      </c>
      <c r="H128" s="16" t="s">
        <v>348</v>
      </c>
      <c r="I128" s="16" t="s">
        <v>348</v>
      </c>
      <c r="J128" s="16" t="s">
        <v>348</v>
      </c>
      <c r="K128" s="16" t="s">
        <v>348</v>
      </c>
      <c r="L128" s="16" t="s">
        <v>348</v>
      </c>
      <c r="M128" s="16" t="s">
        <v>348</v>
      </c>
      <c r="N128" s="16" t="s">
        <v>348</v>
      </c>
      <c r="O128" s="16" t="s">
        <v>348</v>
      </c>
      <c r="P128" s="16" t="s">
        <v>348</v>
      </c>
    </row>
    <row r="129" spans="1:16">
      <c r="A129" s="16" t="s">
        <v>344</v>
      </c>
      <c r="B129" s="17" t="s">
        <v>345</v>
      </c>
      <c r="C129" s="16" t="s">
        <v>597</v>
      </c>
      <c r="D129" s="17" t="s">
        <v>598</v>
      </c>
      <c r="E129" s="16">
        <v>11.493923962659879</v>
      </c>
      <c r="F129" s="16">
        <v>13.455986425868289</v>
      </c>
      <c r="G129" s="16">
        <v>13.42220089698783</v>
      </c>
      <c r="H129" s="16">
        <v>13.832853617856539</v>
      </c>
      <c r="I129" s="16" t="s">
        <v>348</v>
      </c>
      <c r="J129" s="16" t="s">
        <v>348</v>
      </c>
      <c r="K129" s="16" t="s">
        <v>348</v>
      </c>
      <c r="L129" s="16" t="s">
        <v>348</v>
      </c>
      <c r="M129" s="16" t="s">
        <v>348</v>
      </c>
      <c r="N129" s="16" t="s">
        <v>348</v>
      </c>
      <c r="O129" s="16" t="s">
        <v>348</v>
      </c>
      <c r="P129" s="16" t="s">
        <v>348</v>
      </c>
    </row>
    <row r="130" spans="1:16">
      <c r="A130" s="16" t="s">
        <v>344</v>
      </c>
      <c r="B130" s="17" t="s">
        <v>345</v>
      </c>
      <c r="C130" s="16" t="s">
        <v>599</v>
      </c>
      <c r="D130" s="17" t="s">
        <v>600</v>
      </c>
      <c r="E130" s="16" t="s">
        <v>348</v>
      </c>
      <c r="F130" s="16" t="s">
        <v>348</v>
      </c>
      <c r="G130" s="16" t="s">
        <v>348</v>
      </c>
      <c r="H130" s="16" t="s">
        <v>348</v>
      </c>
      <c r="I130" s="16" t="s">
        <v>348</v>
      </c>
      <c r="J130" s="16" t="s">
        <v>348</v>
      </c>
      <c r="K130" s="16" t="s">
        <v>348</v>
      </c>
      <c r="L130" s="16" t="s">
        <v>348</v>
      </c>
      <c r="M130" s="16" t="s">
        <v>348</v>
      </c>
      <c r="N130" s="16" t="s">
        <v>348</v>
      </c>
      <c r="O130" s="16" t="s">
        <v>348</v>
      </c>
      <c r="P130" s="16" t="s">
        <v>348</v>
      </c>
    </row>
    <row r="131" spans="1:16">
      <c r="A131" s="16" t="s">
        <v>344</v>
      </c>
      <c r="B131" s="17" t="s">
        <v>345</v>
      </c>
      <c r="C131" s="16" t="s">
        <v>601</v>
      </c>
      <c r="D131" s="17" t="s">
        <v>602</v>
      </c>
      <c r="E131" s="16">
        <v>4.7872107226294061</v>
      </c>
      <c r="F131" s="16">
        <v>5.8099877255433112</v>
      </c>
      <c r="G131" s="16">
        <v>10.076600846765031</v>
      </c>
      <c r="H131" s="16" t="s">
        <v>348</v>
      </c>
      <c r="I131" s="16" t="s">
        <v>348</v>
      </c>
      <c r="J131" s="16" t="s">
        <v>348</v>
      </c>
      <c r="K131" s="16" t="s">
        <v>348</v>
      </c>
      <c r="L131" s="16" t="s">
        <v>348</v>
      </c>
      <c r="M131" s="16" t="s">
        <v>348</v>
      </c>
      <c r="N131" s="16" t="s">
        <v>348</v>
      </c>
      <c r="O131" s="16" t="s">
        <v>348</v>
      </c>
      <c r="P131" s="16" t="s">
        <v>348</v>
      </c>
    </row>
    <row r="132" spans="1:16">
      <c r="A132" s="16" t="s">
        <v>344</v>
      </c>
      <c r="B132" s="17" t="s">
        <v>345</v>
      </c>
      <c r="C132" s="16" t="s">
        <v>603</v>
      </c>
      <c r="D132" s="17" t="s">
        <v>604</v>
      </c>
      <c r="E132" s="16" t="s">
        <v>348</v>
      </c>
      <c r="F132" s="16" t="s">
        <v>348</v>
      </c>
      <c r="G132" s="16" t="s">
        <v>348</v>
      </c>
      <c r="H132" s="16" t="s">
        <v>348</v>
      </c>
      <c r="I132" s="16" t="s">
        <v>348</v>
      </c>
      <c r="J132" s="16" t="s">
        <v>348</v>
      </c>
      <c r="K132" s="16" t="s">
        <v>348</v>
      </c>
      <c r="L132" s="16" t="s">
        <v>348</v>
      </c>
      <c r="M132" s="16" t="s">
        <v>348</v>
      </c>
      <c r="N132" s="16" t="s">
        <v>348</v>
      </c>
      <c r="O132" s="16" t="s">
        <v>348</v>
      </c>
      <c r="P132" s="16" t="s">
        <v>348</v>
      </c>
    </row>
    <row r="133" spans="1:16">
      <c r="A133" s="16" t="s">
        <v>344</v>
      </c>
      <c r="B133" s="17" t="s">
        <v>345</v>
      </c>
      <c r="C133" s="16" t="s">
        <v>605</v>
      </c>
      <c r="D133" s="17" t="s">
        <v>606</v>
      </c>
      <c r="E133" s="16">
        <v>4.0873163900099376</v>
      </c>
      <c r="F133" s="16">
        <v>5.7981197126785746</v>
      </c>
      <c r="G133" s="16">
        <v>7.6869447236433581</v>
      </c>
      <c r="H133" s="16" t="s">
        <v>348</v>
      </c>
      <c r="I133" s="16" t="s">
        <v>348</v>
      </c>
      <c r="J133" s="16" t="s">
        <v>348</v>
      </c>
      <c r="K133" s="16" t="s">
        <v>348</v>
      </c>
      <c r="L133" s="16" t="s">
        <v>348</v>
      </c>
      <c r="M133" s="16" t="s">
        <v>348</v>
      </c>
      <c r="N133" s="16" t="s">
        <v>348</v>
      </c>
      <c r="O133" s="16" t="s">
        <v>348</v>
      </c>
      <c r="P133" s="16" t="s">
        <v>348</v>
      </c>
    </row>
    <row r="134" spans="1:16">
      <c r="A134" s="16" t="s">
        <v>344</v>
      </c>
      <c r="B134" s="17" t="s">
        <v>345</v>
      </c>
      <c r="C134" s="16" t="s">
        <v>607</v>
      </c>
      <c r="D134" s="17" t="s">
        <v>608</v>
      </c>
      <c r="E134" s="16" t="s">
        <v>348</v>
      </c>
      <c r="F134" s="16" t="s">
        <v>348</v>
      </c>
      <c r="G134" s="16">
        <v>13.34088671185882</v>
      </c>
      <c r="H134" s="16" t="s">
        <v>348</v>
      </c>
      <c r="I134" s="16" t="s">
        <v>348</v>
      </c>
      <c r="J134" s="16" t="s">
        <v>348</v>
      </c>
      <c r="K134" s="16" t="s">
        <v>348</v>
      </c>
      <c r="L134" s="16" t="s">
        <v>348</v>
      </c>
      <c r="M134" s="16" t="s">
        <v>348</v>
      </c>
      <c r="N134" s="16" t="s">
        <v>348</v>
      </c>
      <c r="O134" s="16" t="s">
        <v>348</v>
      </c>
      <c r="P134" s="16" t="s">
        <v>348</v>
      </c>
    </row>
    <row r="135" spans="1:16">
      <c r="A135" s="16" t="s">
        <v>344</v>
      </c>
      <c r="B135" s="17" t="s">
        <v>345</v>
      </c>
      <c r="C135" s="16" t="s">
        <v>609</v>
      </c>
      <c r="D135" s="17" t="s">
        <v>610</v>
      </c>
      <c r="E135" s="16">
        <v>14.241779846648731</v>
      </c>
      <c r="F135" s="16">
        <v>13.281751428028841</v>
      </c>
      <c r="G135" s="16">
        <v>14.52718909228623</v>
      </c>
      <c r="H135" s="16" t="s">
        <v>348</v>
      </c>
      <c r="I135" s="16" t="s">
        <v>348</v>
      </c>
      <c r="J135" s="16" t="s">
        <v>348</v>
      </c>
      <c r="K135" s="16" t="s">
        <v>348</v>
      </c>
      <c r="L135" s="16" t="s">
        <v>348</v>
      </c>
      <c r="M135" s="16" t="s">
        <v>348</v>
      </c>
      <c r="N135" s="16" t="s">
        <v>348</v>
      </c>
      <c r="O135" s="16" t="s">
        <v>348</v>
      </c>
      <c r="P135" s="16" t="s">
        <v>348</v>
      </c>
    </row>
    <row r="136" spans="1:16">
      <c r="A136" s="16" t="s">
        <v>344</v>
      </c>
      <c r="B136" s="17" t="s">
        <v>345</v>
      </c>
      <c r="C136" s="16" t="s">
        <v>611</v>
      </c>
      <c r="D136" s="17" t="s">
        <v>612</v>
      </c>
      <c r="E136" s="16">
        <v>1.2108798458479271</v>
      </c>
      <c r="F136" s="16">
        <v>1.7995909977325251</v>
      </c>
      <c r="G136" s="16">
        <v>3.213437696766833</v>
      </c>
      <c r="H136" s="16" t="s">
        <v>348</v>
      </c>
      <c r="I136" s="16" t="s">
        <v>348</v>
      </c>
      <c r="J136" s="16" t="s">
        <v>348</v>
      </c>
      <c r="K136" s="16" t="s">
        <v>348</v>
      </c>
      <c r="L136" s="16" t="s">
        <v>348</v>
      </c>
      <c r="M136" s="16" t="s">
        <v>348</v>
      </c>
      <c r="N136" s="16" t="s">
        <v>348</v>
      </c>
      <c r="O136" s="16" t="s">
        <v>348</v>
      </c>
      <c r="P136" s="16" t="s">
        <v>348</v>
      </c>
    </row>
    <row r="137" spans="1:16">
      <c r="A137" s="16" t="s">
        <v>344</v>
      </c>
      <c r="B137" s="17" t="s">
        <v>345</v>
      </c>
      <c r="C137" s="16" t="s">
        <v>613</v>
      </c>
      <c r="D137" s="17" t="s">
        <v>614</v>
      </c>
      <c r="E137" s="16">
        <v>2.8907436666795392</v>
      </c>
      <c r="F137" s="16">
        <v>4.7960833400643574</v>
      </c>
      <c r="G137" s="16">
        <v>13.140923056273859</v>
      </c>
      <c r="H137" s="16" t="s">
        <v>348</v>
      </c>
      <c r="I137" s="16" t="s">
        <v>348</v>
      </c>
      <c r="J137" s="16" t="s">
        <v>348</v>
      </c>
      <c r="K137" s="16" t="s">
        <v>348</v>
      </c>
      <c r="L137" s="16" t="s">
        <v>348</v>
      </c>
      <c r="M137" s="16" t="s">
        <v>348</v>
      </c>
      <c r="N137" s="16" t="s">
        <v>348</v>
      </c>
      <c r="O137" s="16" t="s">
        <v>348</v>
      </c>
      <c r="P137" s="16" t="s">
        <v>348</v>
      </c>
    </row>
    <row r="138" spans="1:16">
      <c r="A138" s="16" t="s">
        <v>344</v>
      </c>
      <c r="B138" s="17" t="s">
        <v>345</v>
      </c>
      <c r="C138" s="16" t="s">
        <v>615</v>
      </c>
      <c r="D138" s="17" t="s">
        <v>616</v>
      </c>
      <c r="E138" s="16" t="s">
        <v>348</v>
      </c>
      <c r="F138" s="16">
        <v>14.01534899571211</v>
      </c>
      <c r="G138" s="16">
        <v>15.34274029066215</v>
      </c>
      <c r="H138" s="16" t="s">
        <v>348</v>
      </c>
      <c r="I138" s="16" t="s">
        <v>348</v>
      </c>
      <c r="J138" s="16" t="s">
        <v>348</v>
      </c>
      <c r="K138" s="16" t="s">
        <v>348</v>
      </c>
      <c r="L138" s="16" t="s">
        <v>348</v>
      </c>
      <c r="M138" s="16" t="s">
        <v>348</v>
      </c>
      <c r="N138" s="16" t="s">
        <v>348</v>
      </c>
      <c r="O138" s="16" t="s">
        <v>348</v>
      </c>
      <c r="P138" s="16" t="s">
        <v>348</v>
      </c>
    </row>
    <row r="139" spans="1:16">
      <c r="A139" s="16" t="s">
        <v>344</v>
      </c>
      <c r="B139" s="17" t="s">
        <v>345</v>
      </c>
      <c r="C139" s="16" t="s">
        <v>617</v>
      </c>
      <c r="D139" s="17" t="s">
        <v>618</v>
      </c>
      <c r="E139" s="16" t="s">
        <v>348</v>
      </c>
      <c r="F139" s="16" t="s">
        <v>348</v>
      </c>
      <c r="G139" s="16" t="s">
        <v>348</v>
      </c>
      <c r="H139" s="16" t="s">
        <v>348</v>
      </c>
      <c r="I139" s="16" t="s">
        <v>348</v>
      </c>
      <c r="J139" s="16" t="s">
        <v>348</v>
      </c>
      <c r="K139" s="16" t="s">
        <v>348</v>
      </c>
      <c r="L139" s="16" t="s">
        <v>348</v>
      </c>
      <c r="M139" s="16" t="s">
        <v>348</v>
      </c>
      <c r="N139" s="16" t="s">
        <v>348</v>
      </c>
      <c r="O139" s="16" t="s">
        <v>348</v>
      </c>
      <c r="P139" s="16" t="s">
        <v>348</v>
      </c>
    </row>
    <row r="140" spans="1:16">
      <c r="A140" s="16" t="s">
        <v>344</v>
      </c>
      <c r="B140" s="17" t="s">
        <v>345</v>
      </c>
      <c r="C140" s="16" t="s">
        <v>619</v>
      </c>
      <c r="D140" s="17" t="s">
        <v>620</v>
      </c>
      <c r="E140" s="16">
        <v>6.0985620129732618</v>
      </c>
      <c r="F140" s="16">
        <v>7.0869353404528033</v>
      </c>
      <c r="G140" s="16">
        <v>8.5735256008820411</v>
      </c>
      <c r="H140" s="16" t="s">
        <v>348</v>
      </c>
      <c r="I140" s="16" t="s">
        <v>348</v>
      </c>
      <c r="J140" s="16" t="s">
        <v>348</v>
      </c>
      <c r="K140" s="16" t="s">
        <v>348</v>
      </c>
      <c r="L140" s="16" t="s">
        <v>348</v>
      </c>
      <c r="M140" s="16" t="s">
        <v>348</v>
      </c>
      <c r="N140" s="16" t="s">
        <v>348</v>
      </c>
      <c r="O140" s="16" t="s">
        <v>348</v>
      </c>
      <c r="P140" s="16" t="s">
        <v>348</v>
      </c>
    </row>
    <row r="141" spans="1:16">
      <c r="A141" s="16" t="s">
        <v>344</v>
      </c>
      <c r="B141" s="17" t="s">
        <v>345</v>
      </c>
      <c r="C141" s="16" t="s">
        <v>621</v>
      </c>
      <c r="D141" s="17" t="s">
        <v>622</v>
      </c>
      <c r="E141" s="16">
        <v>9.8052036340846289</v>
      </c>
      <c r="F141" s="16">
        <v>11.809564641018</v>
      </c>
      <c r="G141" s="16">
        <v>14.33117716469625</v>
      </c>
      <c r="H141" s="16">
        <v>14.888683347998001</v>
      </c>
      <c r="I141" s="16" t="s">
        <v>348</v>
      </c>
      <c r="J141" s="16" t="s">
        <v>348</v>
      </c>
      <c r="K141" s="16" t="s">
        <v>348</v>
      </c>
      <c r="L141" s="16" t="s">
        <v>348</v>
      </c>
      <c r="M141" s="16" t="s">
        <v>348</v>
      </c>
      <c r="N141" s="16" t="s">
        <v>348</v>
      </c>
      <c r="O141" s="16" t="s">
        <v>348</v>
      </c>
      <c r="P141" s="16" t="s">
        <v>348</v>
      </c>
    </row>
    <row r="142" spans="1:16">
      <c r="A142" s="16" t="s">
        <v>344</v>
      </c>
      <c r="B142" s="17" t="s">
        <v>345</v>
      </c>
      <c r="C142" s="16" t="s">
        <v>623</v>
      </c>
      <c r="D142" s="17" t="s">
        <v>624</v>
      </c>
      <c r="E142" s="16" t="s">
        <v>348</v>
      </c>
      <c r="F142" s="16" t="s">
        <v>348</v>
      </c>
      <c r="G142" s="16" t="s">
        <v>348</v>
      </c>
      <c r="H142" s="16" t="s">
        <v>348</v>
      </c>
      <c r="I142" s="16" t="s">
        <v>348</v>
      </c>
      <c r="J142" s="16" t="s">
        <v>348</v>
      </c>
      <c r="K142" s="16" t="s">
        <v>348</v>
      </c>
      <c r="L142" s="16" t="s">
        <v>348</v>
      </c>
      <c r="M142" s="16" t="s">
        <v>348</v>
      </c>
      <c r="N142" s="16" t="s">
        <v>348</v>
      </c>
      <c r="O142" s="16" t="s">
        <v>348</v>
      </c>
      <c r="P142" s="16" t="s">
        <v>348</v>
      </c>
    </row>
    <row r="143" spans="1:16">
      <c r="A143" s="16" t="s">
        <v>344</v>
      </c>
      <c r="B143" s="17" t="s">
        <v>345</v>
      </c>
      <c r="C143" s="16" t="s">
        <v>625</v>
      </c>
      <c r="D143" s="17" t="s">
        <v>626</v>
      </c>
      <c r="E143" s="16">
        <v>7.9640240852859723</v>
      </c>
      <c r="F143" s="16">
        <v>8.0989906029221981</v>
      </c>
      <c r="G143" s="16">
        <v>9.7113148100682043</v>
      </c>
      <c r="H143" s="16">
        <v>10.141564179811819</v>
      </c>
      <c r="I143" s="16" t="s">
        <v>348</v>
      </c>
      <c r="J143" s="16" t="s">
        <v>348</v>
      </c>
      <c r="K143" s="16" t="s">
        <v>348</v>
      </c>
      <c r="L143" s="16" t="s">
        <v>348</v>
      </c>
      <c r="M143" s="16" t="s">
        <v>348</v>
      </c>
      <c r="N143" s="16" t="s">
        <v>348</v>
      </c>
      <c r="O143" s="16" t="s">
        <v>348</v>
      </c>
      <c r="P143" s="16" t="s">
        <v>348</v>
      </c>
    </row>
    <row r="144" spans="1:16">
      <c r="A144" s="16" t="s">
        <v>344</v>
      </c>
      <c r="B144" s="17" t="s">
        <v>345</v>
      </c>
      <c r="C144" s="16" t="s">
        <v>627</v>
      </c>
      <c r="D144" s="17" t="s">
        <v>628</v>
      </c>
      <c r="E144" s="16">
        <v>8.6236802851675183</v>
      </c>
      <c r="F144" s="16">
        <v>9.6560294292378721</v>
      </c>
      <c r="G144" s="16">
        <v>11.02664491372723</v>
      </c>
      <c r="H144" s="16" t="s">
        <v>348</v>
      </c>
      <c r="I144" s="16" t="s">
        <v>348</v>
      </c>
      <c r="J144" s="16" t="s">
        <v>348</v>
      </c>
      <c r="K144" s="16" t="s">
        <v>348</v>
      </c>
      <c r="L144" s="16" t="s">
        <v>348</v>
      </c>
      <c r="M144" s="16" t="s">
        <v>348</v>
      </c>
      <c r="N144" s="16" t="s">
        <v>348</v>
      </c>
      <c r="O144" s="16" t="s">
        <v>348</v>
      </c>
      <c r="P144" s="16" t="s">
        <v>348</v>
      </c>
    </row>
    <row r="145" spans="1:16">
      <c r="A145" s="16" t="s">
        <v>344</v>
      </c>
      <c r="B145" s="17" t="s">
        <v>345</v>
      </c>
      <c r="C145" s="16" t="s">
        <v>629</v>
      </c>
      <c r="D145" s="17" t="s">
        <v>630</v>
      </c>
      <c r="E145" s="16" t="s">
        <v>348</v>
      </c>
      <c r="F145" s="16">
        <v>9.3272581381190012</v>
      </c>
      <c r="G145" s="16">
        <v>9.7389519551597701</v>
      </c>
      <c r="H145" s="16" t="s">
        <v>348</v>
      </c>
      <c r="I145" s="16" t="s">
        <v>348</v>
      </c>
      <c r="J145" s="16" t="s">
        <v>348</v>
      </c>
      <c r="K145" s="16" t="s">
        <v>348</v>
      </c>
      <c r="L145" s="16" t="s">
        <v>348</v>
      </c>
      <c r="M145" s="16" t="s">
        <v>348</v>
      </c>
      <c r="N145" s="16" t="s">
        <v>348</v>
      </c>
      <c r="O145" s="16" t="s">
        <v>348</v>
      </c>
      <c r="P145" s="16" t="s">
        <v>348</v>
      </c>
    </row>
    <row r="146" spans="1:16">
      <c r="A146" s="16" t="s">
        <v>344</v>
      </c>
      <c r="B146" s="17" t="s">
        <v>345</v>
      </c>
      <c r="C146" s="16" t="s">
        <v>631</v>
      </c>
      <c r="D146" s="17" t="s">
        <v>632</v>
      </c>
      <c r="E146" s="16">
        <v>5.3379830358577074</v>
      </c>
      <c r="F146" s="16">
        <v>4.8334627542320394</v>
      </c>
      <c r="G146" s="16">
        <v>8.2526331819637075</v>
      </c>
      <c r="H146" s="16" t="s">
        <v>348</v>
      </c>
      <c r="I146" s="16" t="s">
        <v>348</v>
      </c>
      <c r="J146" s="16" t="s">
        <v>348</v>
      </c>
      <c r="K146" s="16" t="s">
        <v>348</v>
      </c>
      <c r="L146" s="16" t="s">
        <v>348</v>
      </c>
      <c r="M146" s="16" t="s">
        <v>348</v>
      </c>
      <c r="N146" s="16" t="s">
        <v>348</v>
      </c>
      <c r="O146" s="16" t="s">
        <v>348</v>
      </c>
      <c r="P146" s="16" t="s">
        <v>348</v>
      </c>
    </row>
    <row r="147" spans="1:16">
      <c r="A147" s="16" t="s">
        <v>344</v>
      </c>
      <c r="B147" s="17" t="s">
        <v>345</v>
      </c>
      <c r="C147" s="16" t="s">
        <v>633</v>
      </c>
      <c r="D147" s="17" t="s">
        <v>634</v>
      </c>
      <c r="E147" s="16">
        <v>10.74074500136695</v>
      </c>
      <c r="F147" s="16">
        <v>9.0978895892701743</v>
      </c>
      <c r="G147" s="16">
        <v>13.477654018191281</v>
      </c>
      <c r="H147" s="16" t="s">
        <v>348</v>
      </c>
      <c r="I147" s="16" t="s">
        <v>348</v>
      </c>
      <c r="J147" s="16" t="s">
        <v>348</v>
      </c>
      <c r="K147" s="16" t="s">
        <v>348</v>
      </c>
      <c r="L147" s="16" t="s">
        <v>348</v>
      </c>
      <c r="M147" s="16" t="s">
        <v>348</v>
      </c>
      <c r="N147" s="16" t="s">
        <v>348</v>
      </c>
      <c r="O147" s="16" t="s">
        <v>348</v>
      </c>
      <c r="P147" s="16" t="s">
        <v>348</v>
      </c>
    </row>
    <row r="148" spans="1:16">
      <c r="A148" s="16" t="s">
        <v>344</v>
      </c>
      <c r="B148" s="17" t="s">
        <v>345</v>
      </c>
      <c r="C148" s="16" t="s">
        <v>635</v>
      </c>
      <c r="D148" s="17" t="s">
        <v>636</v>
      </c>
      <c r="E148" s="16" t="s">
        <v>348</v>
      </c>
      <c r="F148" s="16" t="s">
        <v>348</v>
      </c>
      <c r="G148" s="16" t="s">
        <v>348</v>
      </c>
      <c r="H148" s="16" t="s">
        <v>348</v>
      </c>
      <c r="I148" s="16" t="s">
        <v>348</v>
      </c>
      <c r="J148" s="16" t="s">
        <v>348</v>
      </c>
      <c r="K148" s="16" t="s">
        <v>348</v>
      </c>
      <c r="L148" s="16" t="s">
        <v>348</v>
      </c>
      <c r="M148" s="16" t="s">
        <v>348</v>
      </c>
      <c r="N148" s="16" t="s">
        <v>348</v>
      </c>
      <c r="O148" s="16" t="s">
        <v>348</v>
      </c>
      <c r="P148" s="16" t="s">
        <v>348</v>
      </c>
    </row>
    <row r="149" spans="1:16">
      <c r="A149" s="16" t="s">
        <v>344</v>
      </c>
      <c r="B149" s="17" t="s">
        <v>345</v>
      </c>
      <c r="C149" s="16" t="s">
        <v>637</v>
      </c>
      <c r="D149" s="17" t="s">
        <v>638</v>
      </c>
      <c r="E149" s="16">
        <v>11.48712473979934</v>
      </c>
      <c r="F149" s="16">
        <v>13.305205016271939</v>
      </c>
      <c r="G149" s="16">
        <v>15.14633659092212</v>
      </c>
      <c r="H149" s="16">
        <v>14.692058412755181</v>
      </c>
      <c r="I149" s="16" t="s">
        <v>348</v>
      </c>
      <c r="J149" s="16" t="s">
        <v>348</v>
      </c>
      <c r="K149" s="16" t="s">
        <v>348</v>
      </c>
      <c r="L149" s="16" t="s">
        <v>348</v>
      </c>
      <c r="M149" s="16" t="s">
        <v>348</v>
      </c>
      <c r="N149" s="16" t="s">
        <v>348</v>
      </c>
      <c r="O149" s="16" t="s">
        <v>348</v>
      </c>
      <c r="P149" s="16" t="s">
        <v>348</v>
      </c>
    </row>
    <row r="150" spans="1:16">
      <c r="A150" s="16" t="s">
        <v>344</v>
      </c>
      <c r="B150" s="17" t="s">
        <v>345</v>
      </c>
      <c r="C150" s="16" t="s">
        <v>639</v>
      </c>
      <c r="D150" s="17" t="s">
        <v>640</v>
      </c>
      <c r="E150" s="16">
        <v>14.71682141363716</v>
      </c>
      <c r="F150" s="16">
        <v>12.68949699709535</v>
      </c>
      <c r="G150" s="16">
        <v>6.5218053351580521</v>
      </c>
      <c r="H150" s="16" t="s">
        <v>348</v>
      </c>
      <c r="I150" s="16" t="s">
        <v>348</v>
      </c>
      <c r="J150" s="16" t="s">
        <v>348</v>
      </c>
      <c r="K150" s="16" t="s">
        <v>348</v>
      </c>
      <c r="L150" s="16" t="s">
        <v>348</v>
      </c>
      <c r="M150" s="16" t="s">
        <v>348</v>
      </c>
      <c r="N150" s="16" t="s">
        <v>348</v>
      </c>
      <c r="O150" s="16" t="s">
        <v>348</v>
      </c>
      <c r="P150" s="16" t="s">
        <v>348</v>
      </c>
    </row>
    <row r="151" spans="1:16">
      <c r="A151" s="16" t="s">
        <v>344</v>
      </c>
      <c r="B151" s="17" t="s">
        <v>345</v>
      </c>
      <c r="C151" s="16" t="s">
        <v>641</v>
      </c>
      <c r="D151" s="17" t="s">
        <v>642</v>
      </c>
      <c r="E151" s="16">
        <v>8.6636038150272743</v>
      </c>
      <c r="F151" s="16">
        <v>8.5383124574603109</v>
      </c>
      <c r="G151" s="16">
        <v>10.77493420110201</v>
      </c>
      <c r="H151" s="16" t="s">
        <v>348</v>
      </c>
      <c r="I151" s="16" t="s">
        <v>348</v>
      </c>
      <c r="J151" s="16" t="s">
        <v>348</v>
      </c>
      <c r="K151" s="16" t="s">
        <v>348</v>
      </c>
      <c r="L151" s="16" t="s">
        <v>348</v>
      </c>
      <c r="M151" s="16" t="s">
        <v>348</v>
      </c>
      <c r="N151" s="16" t="s">
        <v>348</v>
      </c>
      <c r="O151" s="16" t="s">
        <v>348</v>
      </c>
      <c r="P151" s="16" t="s">
        <v>348</v>
      </c>
    </row>
    <row r="152" spans="1:16">
      <c r="A152" s="16" t="s">
        <v>344</v>
      </c>
      <c r="B152" s="17" t="s">
        <v>345</v>
      </c>
      <c r="C152" s="16" t="s">
        <v>643</v>
      </c>
      <c r="D152" s="17" t="s">
        <v>644</v>
      </c>
      <c r="E152" s="16">
        <v>3.7059960641160732</v>
      </c>
      <c r="F152" s="16" t="s">
        <v>348</v>
      </c>
      <c r="G152" s="16" t="s">
        <v>348</v>
      </c>
      <c r="H152" s="16" t="s">
        <v>348</v>
      </c>
      <c r="I152" s="16" t="s">
        <v>348</v>
      </c>
      <c r="J152" s="16" t="s">
        <v>348</v>
      </c>
      <c r="K152" s="16" t="s">
        <v>348</v>
      </c>
      <c r="L152" s="16" t="s">
        <v>348</v>
      </c>
      <c r="M152" s="16" t="s">
        <v>348</v>
      </c>
      <c r="N152" s="16" t="s">
        <v>348</v>
      </c>
      <c r="O152" s="16" t="s">
        <v>348</v>
      </c>
      <c r="P152" s="16" t="s">
        <v>348</v>
      </c>
    </row>
    <row r="153" spans="1:16">
      <c r="A153" s="16" t="s">
        <v>344</v>
      </c>
      <c r="B153" s="17" t="s">
        <v>345</v>
      </c>
      <c r="C153" s="16" t="s">
        <v>645</v>
      </c>
      <c r="D153" s="17" t="s">
        <v>646</v>
      </c>
      <c r="E153" s="16">
        <v>18.671098625643509</v>
      </c>
      <c r="F153" s="16">
        <v>17.076716273386321</v>
      </c>
      <c r="G153" s="16">
        <v>26.728682015158519</v>
      </c>
      <c r="H153" s="16" t="s">
        <v>348</v>
      </c>
      <c r="I153" s="16" t="s">
        <v>348</v>
      </c>
      <c r="J153" s="16" t="s">
        <v>348</v>
      </c>
      <c r="K153" s="16" t="s">
        <v>348</v>
      </c>
      <c r="L153" s="16" t="s">
        <v>348</v>
      </c>
      <c r="M153" s="16" t="s">
        <v>348</v>
      </c>
      <c r="N153" s="16" t="s">
        <v>348</v>
      </c>
      <c r="O153" s="16" t="s">
        <v>348</v>
      </c>
      <c r="P153" s="16" t="s">
        <v>348</v>
      </c>
    </row>
    <row r="154" spans="1:16">
      <c r="A154" s="16" t="s">
        <v>344</v>
      </c>
      <c r="B154" s="17" t="s">
        <v>345</v>
      </c>
      <c r="C154" s="16" t="s">
        <v>647</v>
      </c>
      <c r="D154" s="17" t="s">
        <v>648</v>
      </c>
      <c r="E154" s="16" t="s">
        <v>348</v>
      </c>
      <c r="F154" s="16" t="s">
        <v>348</v>
      </c>
      <c r="G154" s="16" t="s">
        <v>348</v>
      </c>
      <c r="H154" s="16" t="s">
        <v>348</v>
      </c>
      <c r="I154" s="16" t="s">
        <v>348</v>
      </c>
      <c r="J154" s="16" t="s">
        <v>348</v>
      </c>
      <c r="K154" s="16" t="s">
        <v>348</v>
      </c>
      <c r="L154" s="16" t="s">
        <v>348</v>
      </c>
      <c r="M154" s="16" t="s">
        <v>348</v>
      </c>
      <c r="N154" s="16" t="s">
        <v>348</v>
      </c>
      <c r="O154" s="16" t="s">
        <v>348</v>
      </c>
      <c r="P154" s="16" t="s">
        <v>348</v>
      </c>
    </row>
    <row r="155" spans="1:16">
      <c r="A155" s="16" t="s">
        <v>344</v>
      </c>
      <c r="B155" s="17" t="s">
        <v>345</v>
      </c>
      <c r="C155" s="16" t="s">
        <v>649</v>
      </c>
      <c r="D155" s="17" t="s">
        <v>650</v>
      </c>
      <c r="E155" s="16">
        <v>13.084746423953749</v>
      </c>
      <c r="F155" s="16">
        <v>13.243036402812599</v>
      </c>
      <c r="G155" s="16">
        <v>16.70076343429325</v>
      </c>
      <c r="H155" s="16" t="s">
        <v>348</v>
      </c>
      <c r="I155" s="16" t="s">
        <v>348</v>
      </c>
      <c r="J155" s="16" t="s">
        <v>348</v>
      </c>
      <c r="K155" s="16" t="s">
        <v>348</v>
      </c>
      <c r="L155" s="16" t="s">
        <v>348</v>
      </c>
      <c r="M155" s="16" t="s">
        <v>348</v>
      </c>
      <c r="N155" s="16" t="s">
        <v>348</v>
      </c>
      <c r="O155" s="16" t="s">
        <v>348</v>
      </c>
      <c r="P155" s="16" t="s">
        <v>348</v>
      </c>
    </row>
    <row r="156" spans="1:16">
      <c r="A156" s="16" t="s">
        <v>344</v>
      </c>
      <c r="B156" s="17" t="s">
        <v>345</v>
      </c>
      <c r="C156" s="16" t="s">
        <v>651</v>
      </c>
      <c r="D156" s="17" t="s">
        <v>652</v>
      </c>
      <c r="E156" s="16">
        <v>14.28909095364935</v>
      </c>
      <c r="F156" s="16">
        <v>16.693420012843131</v>
      </c>
      <c r="G156" s="16">
        <v>18.04460746876628</v>
      </c>
      <c r="H156" s="16" t="s">
        <v>348</v>
      </c>
      <c r="I156" s="16" t="s">
        <v>348</v>
      </c>
      <c r="J156" s="16" t="s">
        <v>348</v>
      </c>
      <c r="K156" s="16" t="s">
        <v>348</v>
      </c>
      <c r="L156" s="16" t="s">
        <v>348</v>
      </c>
      <c r="M156" s="16" t="s">
        <v>348</v>
      </c>
      <c r="N156" s="16" t="s">
        <v>348</v>
      </c>
      <c r="O156" s="16" t="s">
        <v>348</v>
      </c>
      <c r="P156" s="16" t="s">
        <v>348</v>
      </c>
    </row>
    <row r="157" spans="1:16">
      <c r="A157" s="16" t="s">
        <v>344</v>
      </c>
      <c r="B157" s="17" t="s">
        <v>345</v>
      </c>
      <c r="C157" s="16" t="s">
        <v>653</v>
      </c>
      <c r="D157" s="17" t="s">
        <v>654</v>
      </c>
      <c r="E157" s="16">
        <v>9.8619183137223292</v>
      </c>
      <c r="F157" s="16">
        <v>9.4388318701113825</v>
      </c>
      <c r="G157" s="16">
        <v>15.977294710549319</v>
      </c>
      <c r="H157" s="16" t="s">
        <v>348</v>
      </c>
      <c r="I157" s="16" t="s">
        <v>348</v>
      </c>
      <c r="J157" s="16" t="s">
        <v>348</v>
      </c>
      <c r="K157" s="16" t="s">
        <v>348</v>
      </c>
      <c r="L157" s="16" t="s">
        <v>348</v>
      </c>
      <c r="M157" s="16" t="s">
        <v>348</v>
      </c>
      <c r="N157" s="16" t="s">
        <v>348</v>
      </c>
      <c r="O157" s="16" t="s">
        <v>348</v>
      </c>
      <c r="P157" s="16" t="s">
        <v>348</v>
      </c>
    </row>
    <row r="158" spans="1:16">
      <c r="A158" s="16" t="s">
        <v>344</v>
      </c>
      <c r="B158" s="17" t="s">
        <v>345</v>
      </c>
      <c r="C158" s="16" t="s">
        <v>655</v>
      </c>
      <c r="D158" s="17" t="s">
        <v>656</v>
      </c>
      <c r="E158" s="16">
        <v>4.7345675289900706</v>
      </c>
      <c r="F158" s="16">
        <v>7.9942154089123214</v>
      </c>
      <c r="G158" s="16">
        <v>12.253337654387231</v>
      </c>
      <c r="H158" s="16">
        <v>12.71852251035501</v>
      </c>
      <c r="I158" s="16" t="s">
        <v>348</v>
      </c>
      <c r="J158" s="16" t="s">
        <v>348</v>
      </c>
      <c r="K158" s="16" t="s">
        <v>348</v>
      </c>
      <c r="L158" s="16" t="s">
        <v>348</v>
      </c>
      <c r="M158" s="16" t="s">
        <v>348</v>
      </c>
      <c r="N158" s="16" t="s">
        <v>348</v>
      </c>
      <c r="O158" s="16" t="s">
        <v>348</v>
      </c>
      <c r="P158" s="16" t="s">
        <v>348</v>
      </c>
    </row>
    <row r="159" spans="1:16">
      <c r="A159" s="16" t="s">
        <v>344</v>
      </c>
      <c r="B159" s="17" t="s">
        <v>345</v>
      </c>
      <c r="C159" s="16" t="s">
        <v>657</v>
      </c>
      <c r="D159" s="17" t="s">
        <v>658</v>
      </c>
      <c r="E159" s="16">
        <v>16.160988494496479</v>
      </c>
      <c r="F159" s="16">
        <v>14.65973022680979</v>
      </c>
      <c r="G159" s="16">
        <v>17.235453747432391</v>
      </c>
      <c r="H159" s="16">
        <v>16.78067422834798</v>
      </c>
      <c r="I159" s="16" t="s">
        <v>348</v>
      </c>
      <c r="J159" s="16" t="s">
        <v>348</v>
      </c>
      <c r="K159" s="16" t="s">
        <v>348</v>
      </c>
      <c r="L159" s="16" t="s">
        <v>348</v>
      </c>
      <c r="M159" s="16" t="s">
        <v>348</v>
      </c>
      <c r="N159" s="16" t="s">
        <v>348</v>
      </c>
      <c r="O159" s="16" t="s">
        <v>348</v>
      </c>
      <c r="P159" s="16" t="s">
        <v>348</v>
      </c>
    </row>
    <row r="160" spans="1:16">
      <c r="A160" s="16" t="s">
        <v>344</v>
      </c>
      <c r="B160" s="17" t="s">
        <v>345</v>
      </c>
      <c r="C160" s="16" t="s">
        <v>659</v>
      </c>
      <c r="D160" s="17" t="s">
        <v>660</v>
      </c>
      <c r="E160" s="16" t="s">
        <v>348</v>
      </c>
      <c r="F160" s="16" t="s">
        <v>348</v>
      </c>
      <c r="G160" s="16" t="s">
        <v>348</v>
      </c>
      <c r="H160" s="16" t="s">
        <v>348</v>
      </c>
      <c r="I160" s="16" t="s">
        <v>348</v>
      </c>
      <c r="J160" s="16" t="s">
        <v>348</v>
      </c>
      <c r="K160" s="16" t="s">
        <v>348</v>
      </c>
      <c r="L160" s="16" t="s">
        <v>348</v>
      </c>
      <c r="M160" s="16" t="s">
        <v>348</v>
      </c>
      <c r="N160" s="16" t="s">
        <v>348</v>
      </c>
      <c r="O160" s="16" t="s">
        <v>348</v>
      </c>
      <c r="P160" s="16" t="s">
        <v>348</v>
      </c>
    </row>
    <row r="161" spans="1:16">
      <c r="A161" s="16" t="s">
        <v>344</v>
      </c>
      <c r="B161" s="17" t="s">
        <v>345</v>
      </c>
      <c r="C161" s="16" t="s">
        <v>661</v>
      </c>
      <c r="D161" s="17" t="s">
        <v>662</v>
      </c>
      <c r="E161" s="16">
        <v>4.8279752324217862</v>
      </c>
      <c r="F161" s="16">
        <v>5.5039318015951109</v>
      </c>
      <c r="G161" s="16">
        <v>6.2495751682321314</v>
      </c>
      <c r="H161" s="16" t="s">
        <v>348</v>
      </c>
      <c r="I161" s="16" t="s">
        <v>348</v>
      </c>
      <c r="J161" s="16" t="s">
        <v>348</v>
      </c>
      <c r="K161" s="16" t="s">
        <v>348</v>
      </c>
      <c r="L161" s="16" t="s">
        <v>348</v>
      </c>
      <c r="M161" s="16" t="s">
        <v>348</v>
      </c>
      <c r="N161" s="16" t="s">
        <v>348</v>
      </c>
      <c r="O161" s="16" t="s">
        <v>348</v>
      </c>
      <c r="P161" s="16" t="s">
        <v>348</v>
      </c>
    </row>
    <row r="162" spans="1:16">
      <c r="A162" s="16" t="s">
        <v>344</v>
      </c>
      <c r="B162" s="17" t="s">
        <v>345</v>
      </c>
      <c r="C162" s="16" t="s">
        <v>663</v>
      </c>
      <c r="D162" s="17" t="s">
        <v>664</v>
      </c>
      <c r="E162" s="16">
        <v>6.07534958762764</v>
      </c>
      <c r="F162" s="16">
        <v>9.1929831436449589</v>
      </c>
      <c r="G162" s="16">
        <v>17.672797656994408</v>
      </c>
      <c r="H162" s="16" t="s">
        <v>348</v>
      </c>
      <c r="I162" s="16" t="s">
        <v>348</v>
      </c>
      <c r="J162" s="16" t="s">
        <v>348</v>
      </c>
      <c r="K162" s="16" t="s">
        <v>348</v>
      </c>
      <c r="L162" s="16" t="s">
        <v>348</v>
      </c>
      <c r="M162" s="16" t="s">
        <v>348</v>
      </c>
      <c r="N162" s="16" t="s">
        <v>348</v>
      </c>
      <c r="O162" s="16" t="s">
        <v>348</v>
      </c>
      <c r="P162" s="16" t="s">
        <v>348</v>
      </c>
    </row>
    <row r="163" spans="1:16">
      <c r="A163" s="16" t="s">
        <v>344</v>
      </c>
      <c r="B163" s="17" t="s">
        <v>345</v>
      </c>
      <c r="C163" s="16" t="s">
        <v>665</v>
      </c>
      <c r="D163" s="17" t="s">
        <v>666</v>
      </c>
      <c r="E163" s="16">
        <v>5.0399244415182807</v>
      </c>
      <c r="F163" s="16">
        <v>4.8077496670795039</v>
      </c>
      <c r="G163" s="16">
        <v>7.464280610235086</v>
      </c>
      <c r="H163" s="16" t="s">
        <v>348</v>
      </c>
      <c r="I163" s="16" t="s">
        <v>348</v>
      </c>
      <c r="J163" s="16" t="s">
        <v>348</v>
      </c>
      <c r="K163" s="16" t="s">
        <v>348</v>
      </c>
      <c r="L163" s="16" t="s">
        <v>348</v>
      </c>
      <c r="M163" s="16" t="s">
        <v>348</v>
      </c>
      <c r="N163" s="16" t="s">
        <v>348</v>
      </c>
      <c r="O163" s="16" t="s">
        <v>348</v>
      </c>
      <c r="P163" s="16" t="s">
        <v>348</v>
      </c>
    </row>
    <row r="164" spans="1:16">
      <c r="A164" s="16" t="s">
        <v>344</v>
      </c>
      <c r="B164" s="17" t="s">
        <v>345</v>
      </c>
      <c r="C164" s="16" t="s">
        <v>667</v>
      </c>
      <c r="D164" s="17" t="s">
        <v>668</v>
      </c>
      <c r="E164" s="16" t="s">
        <v>348</v>
      </c>
      <c r="F164" s="16" t="s">
        <v>348</v>
      </c>
      <c r="G164" s="16" t="s">
        <v>348</v>
      </c>
      <c r="H164" s="16" t="s">
        <v>348</v>
      </c>
      <c r="I164" s="16" t="s">
        <v>348</v>
      </c>
      <c r="J164" s="16" t="s">
        <v>348</v>
      </c>
      <c r="K164" s="16" t="s">
        <v>348</v>
      </c>
      <c r="L164" s="16" t="s">
        <v>348</v>
      </c>
      <c r="M164" s="16" t="s">
        <v>348</v>
      </c>
      <c r="N164" s="16" t="s">
        <v>348</v>
      </c>
      <c r="O164" s="16" t="s">
        <v>348</v>
      </c>
      <c r="P164" s="16" t="s">
        <v>348</v>
      </c>
    </row>
    <row r="165" spans="1:16">
      <c r="A165" s="16" t="s">
        <v>344</v>
      </c>
      <c r="B165" s="17" t="s">
        <v>345</v>
      </c>
      <c r="C165" s="16" t="s">
        <v>669</v>
      </c>
      <c r="D165" s="17" t="s">
        <v>670</v>
      </c>
      <c r="E165" s="16">
        <v>15.60337144801642</v>
      </c>
      <c r="F165" s="16" t="s">
        <v>348</v>
      </c>
      <c r="G165" s="16" t="s">
        <v>348</v>
      </c>
      <c r="H165" s="16" t="s">
        <v>348</v>
      </c>
      <c r="I165" s="16" t="s">
        <v>348</v>
      </c>
      <c r="J165" s="16" t="s">
        <v>348</v>
      </c>
      <c r="K165" s="16" t="s">
        <v>348</v>
      </c>
      <c r="L165" s="16" t="s">
        <v>348</v>
      </c>
      <c r="M165" s="16" t="s">
        <v>348</v>
      </c>
      <c r="N165" s="16" t="s">
        <v>348</v>
      </c>
      <c r="O165" s="16" t="s">
        <v>348</v>
      </c>
      <c r="P165" s="16" t="s">
        <v>348</v>
      </c>
    </row>
    <row r="166" spans="1:16">
      <c r="A166" s="16" t="s">
        <v>344</v>
      </c>
      <c r="B166" s="17" t="s">
        <v>345</v>
      </c>
      <c r="C166" s="16" t="s">
        <v>671</v>
      </c>
      <c r="D166" s="17" t="s">
        <v>672</v>
      </c>
      <c r="E166" s="16" t="s">
        <v>348</v>
      </c>
      <c r="F166" s="16" t="s">
        <v>348</v>
      </c>
      <c r="G166" s="16" t="s">
        <v>348</v>
      </c>
      <c r="H166" s="16" t="s">
        <v>348</v>
      </c>
      <c r="I166" s="16" t="s">
        <v>348</v>
      </c>
      <c r="J166" s="16" t="s">
        <v>348</v>
      </c>
      <c r="K166" s="16" t="s">
        <v>348</v>
      </c>
      <c r="L166" s="16" t="s">
        <v>348</v>
      </c>
      <c r="M166" s="16" t="s">
        <v>348</v>
      </c>
      <c r="N166" s="16" t="s">
        <v>348</v>
      </c>
      <c r="O166" s="16" t="s">
        <v>348</v>
      </c>
      <c r="P166" s="16" t="s">
        <v>348</v>
      </c>
    </row>
    <row r="167" spans="1:16">
      <c r="A167" s="16" t="s">
        <v>344</v>
      </c>
      <c r="B167" s="17" t="s">
        <v>345</v>
      </c>
      <c r="C167" s="16" t="s">
        <v>673</v>
      </c>
      <c r="D167" s="17" t="s">
        <v>674</v>
      </c>
      <c r="E167" s="16">
        <v>20.35998961358364</v>
      </c>
      <c r="F167" s="16" t="s">
        <v>348</v>
      </c>
      <c r="G167" s="16" t="s">
        <v>348</v>
      </c>
      <c r="H167" s="16" t="s">
        <v>348</v>
      </c>
      <c r="I167" s="16" t="s">
        <v>348</v>
      </c>
      <c r="J167" s="16" t="s">
        <v>348</v>
      </c>
      <c r="K167" s="16" t="s">
        <v>348</v>
      </c>
      <c r="L167" s="16" t="s">
        <v>348</v>
      </c>
      <c r="M167" s="16" t="s">
        <v>348</v>
      </c>
      <c r="N167" s="16" t="s">
        <v>348</v>
      </c>
      <c r="O167" s="16" t="s">
        <v>348</v>
      </c>
      <c r="P167" s="16" t="s">
        <v>348</v>
      </c>
    </row>
    <row r="168" spans="1:16">
      <c r="A168" s="16" t="s">
        <v>344</v>
      </c>
      <c r="B168" s="17" t="s">
        <v>345</v>
      </c>
      <c r="C168" s="16" t="s">
        <v>675</v>
      </c>
      <c r="D168" s="17" t="s">
        <v>676</v>
      </c>
      <c r="E168" s="16">
        <v>11.02538933388996</v>
      </c>
      <c r="F168" s="16">
        <v>8.5286906328733565</v>
      </c>
      <c r="G168" s="16">
        <v>7.0799498776963894</v>
      </c>
      <c r="H168" s="16" t="s">
        <v>348</v>
      </c>
      <c r="I168" s="16" t="s">
        <v>348</v>
      </c>
      <c r="J168" s="16" t="s">
        <v>348</v>
      </c>
      <c r="K168" s="16" t="s">
        <v>348</v>
      </c>
      <c r="L168" s="16" t="s">
        <v>348</v>
      </c>
      <c r="M168" s="16" t="s">
        <v>348</v>
      </c>
      <c r="N168" s="16" t="s">
        <v>348</v>
      </c>
      <c r="O168" s="16" t="s">
        <v>348</v>
      </c>
      <c r="P168" s="16" t="s">
        <v>348</v>
      </c>
    </row>
    <row r="169" spans="1:16">
      <c r="A169" s="16" t="s">
        <v>344</v>
      </c>
      <c r="B169" s="17" t="s">
        <v>345</v>
      </c>
      <c r="C169" s="16" t="s">
        <v>677</v>
      </c>
      <c r="D169" s="17" t="s">
        <v>678</v>
      </c>
      <c r="E169" s="16">
        <v>13.38341976121621</v>
      </c>
      <c r="F169" s="16">
        <v>12.85929999091139</v>
      </c>
      <c r="G169" s="16">
        <v>12.45816003048094</v>
      </c>
      <c r="H169" s="16" t="s">
        <v>348</v>
      </c>
      <c r="I169" s="16" t="s">
        <v>348</v>
      </c>
      <c r="J169" s="16" t="s">
        <v>348</v>
      </c>
      <c r="K169" s="16" t="s">
        <v>348</v>
      </c>
      <c r="L169" s="16" t="s">
        <v>348</v>
      </c>
      <c r="M169" s="16" t="s">
        <v>348</v>
      </c>
      <c r="N169" s="16" t="s">
        <v>348</v>
      </c>
      <c r="O169" s="16" t="s">
        <v>348</v>
      </c>
      <c r="P169" s="16" t="s">
        <v>348</v>
      </c>
    </row>
    <row r="170" spans="1:16">
      <c r="A170" s="16" t="s">
        <v>344</v>
      </c>
      <c r="B170" s="17" t="s">
        <v>345</v>
      </c>
      <c r="C170" s="16" t="s">
        <v>679</v>
      </c>
      <c r="D170" s="17" t="s">
        <v>680</v>
      </c>
      <c r="E170" s="16" t="s">
        <v>348</v>
      </c>
      <c r="F170" s="16">
        <v>6.0754449558410304</v>
      </c>
      <c r="G170" s="16">
        <v>9.631622453048827</v>
      </c>
      <c r="H170" s="16" t="s">
        <v>348</v>
      </c>
      <c r="I170" s="16" t="s">
        <v>348</v>
      </c>
      <c r="J170" s="16" t="s">
        <v>348</v>
      </c>
      <c r="K170" s="16" t="s">
        <v>348</v>
      </c>
      <c r="L170" s="16" t="s">
        <v>348</v>
      </c>
      <c r="M170" s="16" t="s">
        <v>348</v>
      </c>
      <c r="N170" s="16" t="s">
        <v>348</v>
      </c>
      <c r="O170" s="16" t="s">
        <v>348</v>
      </c>
      <c r="P170" s="16" t="s">
        <v>348</v>
      </c>
    </row>
    <row r="171" spans="1:16">
      <c r="A171" s="16" t="s">
        <v>344</v>
      </c>
      <c r="B171" s="17" t="s">
        <v>345</v>
      </c>
      <c r="C171" s="16" t="s">
        <v>681</v>
      </c>
      <c r="D171" s="17" t="s">
        <v>682</v>
      </c>
      <c r="E171" s="16">
        <v>28.62166151290749</v>
      </c>
      <c r="F171" s="16" t="s">
        <v>348</v>
      </c>
      <c r="G171" s="16" t="s">
        <v>348</v>
      </c>
      <c r="H171" s="16" t="s">
        <v>348</v>
      </c>
      <c r="I171" s="16" t="s">
        <v>348</v>
      </c>
      <c r="J171" s="16" t="s">
        <v>348</v>
      </c>
      <c r="K171" s="16" t="s">
        <v>348</v>
      </c>
      <c r="L171" s="16" t="s">
        <v>348</v>
      </c>
      <c r="M171" s="16" t="s">
        <v>348</v>
      </c>
      <c r="N171" s="16" t="s">
        <v>348</v>
      </c>
      <c r="O171" s="16" t="s">
        <v>348</v>
      </c>
      <c r="P171" s="16" t="s">
        <v>348</v>
      </c>
    </row>
    <row r="172" spans="1:16">
      <c r="A172" s="16" t="s">
        <v>344</v>
      </c>
      <c r="B172" s="17" t="s">
        <v>345</v>
      </c>
      <c r="C172" s="16" t="s">
        <v>683</v>
      </c>
      <c r="D172" s="17" t="s">
        <v>684</v>
      </c>
      <c r="E172" s="16" t="s">
        <v>348</v>
      </c>
      <c r="F172" s="16" t="s">
        <v>348</v>
      </c>
      <c r="G172" s="16" t="s">
        <v>348</v>
      </c>
      <c r="H172" s="16" t="s">
        <v>348</v>
      </c>
      <c r="I172" s="16" t="s">
        <v>348</v>
      </c>
      <c r="J172" s="16" t="s">
        <v>348</v>
      </c>
      <c r="K172" s="16" t="s">
        <v>348</v>
      </c>
      <c r="L172" s="16" t="s">
        <v>348</v>
      </c>
      <c r="M172" s="16" t="s">
        <v>348</v>
      </c>
      <c r="N172" s="16" t="s">
        <v>348</v>
      </c>
      <c r="O172" s="16" t="s">
        <v>348</v>
      </c>
      <c r="P172" s="16" t="s">
        <v>348</v>
      </c>
    </row>
    <row r="173" spans="1:16">
      <c r="A173" s="16" t="s">
        <v>344</v>
      </c>
      <c r="B173" s="17" t="s">
        <v>345</v>
      </c>
      <c r="C173" s="16" t="s">
        <v>685</v>
      </c>
      <c r="D173" s="17" t="s">
        <v>686</v>
      </c>
      <c r="E173" s="16">
        <v>11.994280198295399</v>
      </c>
      <c r="F173" s="16">
        <v>14.676063216218971</v>
      </c>
      <c r="G173" s="16">
        <v>20.81385507099894</v>
      </c>
      <c r="H173" s="16" t="s">
        <v>348</v>
      </c>
      <c r="I173" s="16" t="s">
        <v>348</v>
      </c>
      <c r="J173" s="16" t="s">
        <v>348</v>
      </c>
      <c r="K173" s="16" t="s">
        <v>348</v>
      </c>
      <c r="L173" s="16" t="s">
        <v>348</v>
      </c>
      <c r="M173" s="16" t="s">
        <v>348</v>
      </c>
      <c r="N173" s="16" t="s">
        <v>348</v>
      </c>
      <c r="O173" s="16" t="s">
        <v>348</v>
      </c>
      <c r="P173" s="16" t="s">
        <v>348</v>
      </c>
    </row>
    <row r="174" spans="1:16">
      <c r="A174" s="16" t="s">
        <v>344</v>
      </c>
      <c r="B174" s="17" t="s">
        <v>345</v>
      </c>
      <c r="C174" s="16" t="s">
        <v>687</v>
      </c>
      <c r="D174" s="17" t="s">
        <v>688</v>
      </c>
      <c r="E174" s="16" t="s">
        <v>348</v>
      </c>
      <c r="F174" s="16" t="s">
        <v>348</v>
      </c>
      <c r="G174" s="16" t="s">
        <v>348</v>
      </c>
      <c r="H174" s="16" t="s">
        <v>348</v>
      </c>
      <c r="I174" s="16" t="s">
        <v>348</v>
      </c>
      <c r="J174" s="16" t="s">
        <v>348</v>
      </c>
      <c r="K174" s="16" t="s">
        <v>348</v>
      </c>
      <c r="L174" s="16" t="s">
        <v>348</v>
      </c>
      <c r="M174" s="16" t="s">
        <v>348</v>
      </c>
      <c r="N174" s="16" t="s">
        <v>348</v>
      </c>
      <c r="O174" s="16" t="s">
        <v>348</v>
      </c>
      <c r="P174" s="16" t="s">
        <v>348</v>
      </c>
    </row>
    <row r="175" spans="1:16">
      <c r="A175" s="16" t="s">
        <v>344</v>
      </c>
      <c r="B175" s="17" t="s">
        <v>345</v>
      </c>
      <c r="C175" s="16" t="s">
        <v>689</v>
      </c>
      <c r="D175" s="17" t="s">
        <v>690</v>
      </c>
      <c r="E175" s="16">
        <v>4.349470588326108</v>
      </c>
      <c r="F175" s="16">
        <v>5.5637038304351529</v>
      </c>
      <c r="G175" s="16">
        <v>10.82498072934991</v>
      </c>
      <c r="H175" s="16">
        <v>11.145549389709601</v>
      </c>
      <c r="I175" s="16" t="s">
        <v>348</v>
      </c>
      <c r="J175" s="16" t="s">
        <v>348</v>
      </c>
      <c r="K175" s="16" t="s">
        <v>348</v>
      </c>
      <c r="L175" s="16" t="s">
        <v>348</v>
      </c>
      <c r="M175" s="16" t="s">
        <v>348</v>
      </c>
      <c r="N175" s="16" t="s">
        <v>348</v>
      </c>
      <c r="O175" s="16" t="s">
        <v>348</v>
      </c>
      <c r="P175" s="16" t="s">
        <v>348</v>
      </c>
    </row>
    <row r="176" spans="1:16">
      <c r="A176" s="16" t="s">
        <v>344</v>
      </c>
      <c r="B176" s="17" t="s">
        <v>345</v>
      </c>
      <c r="C176" s="16" t="s">
        <v>691</v>
      </c>
      <c r="D176" s="17" t="s">
        <v>692</v>
      </c>
      <c r="E176" s="16">
        <v>8.8636863212003565</v>
      </c>
      <c r="F176" s="16">
        <v>9.3152853225807792</v>
      </c>
      <c r="G176" s="16">
        <v>11.627920201712319</v>
      </c>
      <c r="H176" s="16">
        <v>12.127211747489021</v>
      </c>
      <c r="I176" s="16" t="s">
        <v>348</v>
      </c>
      <c r="J176" s="16" t="s">
        <v>348</v>
      </c>
      <c r="K176" s="16" t="s">
        <v>348</v>
      </c>
      <c r="L176" s="16" t="s">
        <v>348</v>
      </c>
      <c r="M176" s="16" t="s">
        <v>348</v>
      </c>
      <c r="N176" s="16" t="s">
        <v>348</v>
      </c>
      <c r="O176" s="16" t="s">
        <v>348</v>
      </c>
      <c r="P176" s="16" t="s">
        <v>348</v>
      </c>
    </row>
    <row r="177" spans="1:16">
      <c r="A177" s="16" t="s">
        <v>344</v>
      </c>
      <c r="B177" s="17" t="s">
        <v>345</v>
      </c>
      <c r="C177" s="16" t="s">
        <v>693</v>
      </c>
      <c r="D177" s="17" t="s">
        <v>694</v>
      </c>
      <c r="E177" s="16">
        <v>14.624741886024729</v>
      </c>
      <c r="F177" s="16" t="s">
        <v>348</v>
      </c>
      <c r="G177" s="16" t="s">
        <v>348</v>
      </c>
      <c r="H177" s="16" t="s">
        <v>348</v>
      </c>
      <c r="I177" s="16" t="s">
        <v>348</v>
      </c>
      <c r="J177" s="16" t="s">
        <v>348</v>
      </c>
      <c r="K177" s="16" t="s">
        <v>348</v>
      </c>
      <c r="L177" s="16" t="s">
        <v>348</v>
      </c>
      <c r="M177" s="16" t="s">
        <v>348</v>
      </c>
      <c r="N177" s="16" t="s">
        <v>348</v>
      </c>
      <c r="O177" s="16" t="s">
        <v>348</v>
      </c>
      <c r="P177" s="16" t="s">
        <v>348</v>
      </c>
    </row>
    <row r="178" spans="1:16">
      <c r="A178" s="16" t="s">
        <v>344</v>
      </c>
      <c r="B178" s="17" t="s">
        <v>345</v>
      </c>
      <c r="C178" s="16" t="s">
        <v>695</v>
      </c>
      <c r="D178" s="17" t="s">
        <v>696</v>
      </c>
      <c r="E178" s="16" t="s">
        <v>348</v>
      </c>
      <c r="F178" s="16" t="s">
        <v>348</v>
      </c>
      <c r="G178" s="16" t="s">
        <v>348</v>
      </c>
      <c r="H178" s="16" t="s">
        <v>348</v>
      </c>
      <c r="I178" s="16" t="s">
        <v>348</v>
      </c>
      <c r="J178" s="16" t="s">
        <v>348</v>
      </c>
      <c r="K178" s="16" t="s">
        <v>348</v>
      </c>
      <c r="L178" s="16" t="s">
        <v>348</v>
      </c>
      <c r="M178" s="16" t="s">
        <v>348</v>
      </c>
      <c r="N178" s="16" t="s">
        <v>348</v>
      </c>
      <c r="O178" s="16" t="s">
        <v>348</v>
      </c>
      <c r="P178" s="16" t="s">
        <v>348</v>
      </c>
    </row>
    <row r="179" spans="1:16">
      <c r="A179" s="16" t="s">
        <v>344</v>
      </c>
      <c r="B179" s="17" t="s">
        <v>345</v>
      </c>
      <c r="C179" s="16" t="s">
        <v>697</v>
      </c>
      <c r="D179" s="17" t="s">
        <v>698</v>
      </c>
      <c r="E179" s="16">
        <v>4.8490805662585181</v>
      </c>
      <c r="F179" s="16">
        <v>4.842856205215468</v>
      </c>
      <c r="G179" s="16">
        <v>5.5439221234647542</v>
      </c>
      <c r="H179" s="16" t="s">
        <v>348</v>
      </c>
      <c r="I179" s="16" t="s">
        <v>348</v>
      </c>
      <c r="J179" s="16" t="s">
        <v>348</v>
      </c>
      <c r="K179" s="16" t="s">
        <v>348</v>
      </c>
      <c r="L179" s="16" t="s">
        <v>348</v>
      </c>
      <c r="M179" s="16" t="s">
        <v>348</v>
      </c>
      <c r="N179" s="16" t="s">
        <v>348</v>
      </c>
      <c r="O179" s="16" t="s">
        <v>348</v>
      </c>
      <c r="P179" s="16" t="s">
        <v>348</v>
      </c>
    </row>
    <row r="180" spans="1:16">
      <c r="A180" s="16" t="s">
        <v>344</v>
      </c>
      <c r="B180" s="17" t="s">
        <v>345</v>
      </c>
      <c r="C180" s="16" t="s">
        <v>699</v>
      </c>
      <c r="D180" s="17" t="s">
        <v>700</v>
      </c>
      <c r="E180" s="16" t="s">
        <v>348</v>
      </c>
      <c r="F180" s="16" t="s">
        <v>348</v>
      </c>
      <c r="G180" s="16" t="s">
        <v>348</v>
      </c>
      <c r="H180" s="16" t="s">
        <v>348</v>
      </c>
      <c r="I180" s="16" t="s">
        <v>348</v>
      </c>
      <c r="J180" s="16" t="s">
        <v>348</v>
      </c>
      <c r="K180" s="16" t="s">
        <v>348</v>
      </c>
      <c r="L180" s="16" t="s">
        <v>348</v>
      </c>
      <c r="M180" s="16" t="s">
        <v>348</v>
      </c>
      <c r="N180" s="16" t="s">
        <v>348</v>
      </c>
      <c r="O180" s="16" t="s">
        <v>348</v>
      </c>
      <c r="P180" s="16" t="s">
        <v>348</v>
      </c>
    </row>
    <row r="181" spans="1:16">
      <c r="A181" s="16" t="s">
        <v>344</v>
      </c>
      <c r="B181" s="17" t="s">
        <v>345</v>
      </c>
      <c r="C181" s="16" t="s">
        <v>701</v>
      </c>
      <c r="D181" s="17" t="s">
        <v>702</v>
      </c>
      <c r="E181" s="16">
        <v>13.69788418316887</v>
      </c>
      <c r="F181" s="16">
        <v>13.28661240072536</v>
      </c>
      <c r="G181" s="16">
        <v>16.750578901750689</v>
      </c>
      <c r="H181" s="16">
        <v>16.72046208810913</v>
      </c>
      <c r="I181" s="16" t="s">
        <v>348</v>
      </c>
      <c r="J181" s="16" t="s">
        <v>348</v>
      </c>
      <c r="K181" s="16" t="s">
        <v>348</v>
      </c>
      <c r="L181" s="16" t="s">
        <v>348</v>
      </c>
      <c r="M181" s="16" t="s">
        <v>348</v>
      </c>
      <c r="N181" s="16" t="s">
        <v>348</v>
      </c>
      <c r="O181" s="16" t="s">
        <v>348</v>
      </c>
      <c r="P181" s="16" t="s">
        <v>348</v>
      </c>
    </row>
    <row r="182" spans="1:16">
      <c r="A182" s="16" t="s">
        <v>344</v>
      </c>
      <c r="B182" s="17" t="s">
        <v>345</v>
      </c>
      <c r="C182" s="16" t="s">
        <v>703</v>
      </c>
      <c r="D182" s="17" t="s">
        <v>704</v>
      </c>
      <c r="E182" s="16">
        <v>13.52258340637658</v>
      </c>
      <c r="F182" s="16">
        <v>14.895551464519739</v>
      </c>
      <c r="G182" s="16">
        <v>25.043046169484871</v>
      </c>
      <c r="H182" s="16" t="s">
        <v>348</v>
      </c>
      <c r="I182" s="16" t="s">
        <v>348</v>
      </c>
      <c r="J182" s="16" t="s">
        <v>348</v>
      </c>
      <c r="K182" s="16" t="s">
        <v>348</v>
      </c>
      <c r="L182" s="16" t="s">
        <v>348</v>
      </c>
      <c r="M182" s="16" t="s">
        <v>348</v>
      </c>
      <c r="N182" s="16" t="s">
        <v>348</v>
      </c>
      <c r="O182" s="16" t="s">
        <v>348</v>
      </c>
      <c r="P182" s="16" t="s">
        <v>348</v>
      </c>
    </row>
    <row r="183" spans="1:16">
      <c r="A183" s="16" t="s">
        <v>344</v>
      </c>
      <c r="B183" s="17" t="s">
        <v>345</v>
      </c>
      <c r="C183" s="16" t="s">
        <v>705</v>
      </c>
      <c r="D183" s="17" t="s">
        <v>706</v>
      </c>
      <c r="E183" s="16">
        <v>26.829778510074419</v>
      </c>
      <c r="F183" s="16" t="s">
        <v>348</v>
      </c>
      <c r="G183" s="16" t="s">
        <v>348</v>
      </c>
      <c r="H183" s="16" t="s">
        <v>348</v>
      </c>
      <c r="I183" s="16" t="s">
        <v>348</v>
      </c>
      <c r="J183" s="16" t="s">
        <v>348</v>
      </c>
      <c r="K183" s="16" t="s">
        <v>348</v>
      </c>
      <c r="L183" s="16" t="s">
        <v>348</v>
      </c>
      <c r="M183" s="16" t="s">
        <v>348</v>
      </c>
      <c r="N183" s="16" t="s">
        <v>348</v>
      </c>
      <c r="O183" s="16" t="s">
        <v>348</v>
      </c>
      <c r="P183" s="16" t="s">
        <v>348</v>
      </c>
    </row>
    <row r="184" spans="1:16">
      <c r="A184" s="16" t="s">
        <v>344</v>
      </c>
      <c r="B184" s="17" t="s">
        <v>345</v>
      </c>
      <c r="C184" s="16" t="s">
        <v>707</v>
      </c>
      <c r="D184" s="17" t="s">
        <v>708</v>
      </c>
      <c r="E184" s="16">
        <v>42.456833422968657</v>
      </c>
      <c r="F184" s="16" t="s">
        <v>348</v>
      </c>
      <c r="G184" s="16" t="s">
        <v>348</v>
      </c>
      <c r="H184" s="16" t="s">
        <v>348</v>
      </c>
      <c r="I184" s="16" t="s">
        <v>348</v>
      </c>
      <c r="J184" s="16" t="s">
        <v>348</v>
      </c>
      <c r="K184" s="16" t="s">
        <v>348</v>
      </c>
      <c r="L184" s="16" t="s">
        <v>348</v>
      </c>
      <c r="M184" s="16" t="s">
        <v>348</v>
      </c>
      <c r="N184" s="16" t="s">
        <v>348</v>
      </c>
      <c r="O184" s="16" t="s">
        <v>348</v>
      </c>
      <c r="P184" s="16" t="s">
        <v>348</v>
      </c>
    </row>
    <row r="185" spans="1:16">
      <c r="A185" s="16" t="s">
        <v>344</v>
      </c>
      <c r="B185" s="17" t="s">
        <v>345</v>
      </c>
      <c r="C185" s="16" t="s">
        <v>709</v>
      </c>
      <c r="D185" s="17" t="s">
        <v>710</v>
      </c>
      <c r="E185" s="16" t="s">
        <v>348</v>
      </c>
      <c r="F185" s="16" t="s">
        <v>348</v>
      </c>
      <c r="G185" s="16" t="s">
        <v>348</v>
      </c>
      <c r="H185" s="16" t="s">
        <v>348</v>
      </c>
      <c r="I185" s="16" t="s">
        <v>348</v>
      </c>
      <c r="J185" s="16" t="s">
        <v>348</v>
      </c>
      <c r="K185" s="16" t="s">
        <v>348</v>
      </c>
      <c r="L185" s="16" t="s">
        <v>348</v>
      </c>
      <c r="M185" s="16" t="s">
        <v>348</v>
      </c>
      <c r="N185" s="16" t="s">
        <v>348</v>
      </c>
      <c r="O185" s="16" t="s">
        <v>348</v>
      </c>
      <c r="P185" s="16" t="s">
        <v>348</v>
      </c>
    </row>
    <row r="186" spans="1:16">
      <c r="A186" s="16" t="s">
        <v>344</v>
      </c>
      <c r="B186" s="17" t="s">
        <v>345</v>
      </c>
      <c r="C186" s="16" t="s">
        <v>711</v>
      </c>
      <c r="D186" s="17" t="s">
        <v>712</v>
      </c>
      <c r="E186" s="16">
        <v>28.0583297873095</v>
      </c>
      <c r="F186" s="16" t="s">
        <v>348</v>
      </c>
      <c r="G186" s="16" t="s">
        <v>348</v>
      </c>
      <c r="H186" s="16" t="s">
        <v>348</v>
      </c>
      <c r="I186" s="16" t="s">
        <v>348</v>
      </c>
      <c r="J186" s="16" t="s">
        <v>348</v>
      </c>
      <c r="K186" s="16" t="s">
        <v>348</v>
      </c>
      <c r="L186" s="16" t="s">
        <v>348</v>
      </c>
      <c r="M186" s="16" t="s">
        <v>348</v>
      </c>
      <c r="N186" s="16" t="s">
        <v>348</v>
      </c>
      <c r="O186" s="16" t="s">
        <v>348</v>
      </c>
      <c r="P186" s="16" t="s">
        <v>348</v>
      </c>
    </row>
    <row r="187" spans="1:16">
      <c r="A187" s="16" t="s">
        <v>344</v>
      </c>
      <c r="B187" s="17" t="s">
        <v>345</v>
      </c>
      <c r="C187" s="16" t="s">
        <v>713</v>
      </c>
      <c r="D187" s="17" t="s">
        <v>714</v>
      </c>
      <c r="E187" s="16">
        <v>6.1934392346729998</v>
      </c>
      <c r="F187" s="16">
        <v>9.0969057191013754</v>
      </c>
      <c r="G187" s="16">
        <v>10.899031161553379</v>
      </c>
      <c r="H187" s="16" t="s">
        <v>348</v>
      </c>
      <c r="I187" s="16" t="s">
        <v>348</v>
      </c>
      <c r="J187" s="16" t="s">
        <v>348</v>
      </c>
      <c r="K187" s="16" t="s">
        <v>348</v>
      </c>
      <c r="L187" s="16" t="s">
        <v>348</v>
      </c>
      <c r="M187" s="16" t="s">
        <v>348</v>
      </c>
      <c r="N187" s="16" t="s">
        <v>348</v>
      </c>
      <c r="O187" s="16" t="s">
        <v>348</v>
      </c>
      <c r="P187" s="16" t="s">
        <v>348</v>
      </c>
    </row>
    <row r="188" spans="1:16">
      <c r="A188" s="16" t="s">
        <v>344</v>
      </c>
      <c r="B188" s="17" t="s">
        <v>345</v>
      </c>
      <c r="C188" s="16" t="s">
        <v>715</v>
      </c>
      <c r="D188" s="17" t="s">
        <v>716</v>
      </c>
      <c r="E188" s="16" t="s">
        <v>348</v>
      </c>
      <c r="F188" s="16">
        <v>12.25853093611531</v>
      </c>
      <c r="G188" s="16">
        <v>20.355249095473528</v>
      </c>
      <c r="H188" s="16" t="s">
        <v>348</v>
      </c>
      <c r="I188" s="16" t="s">
        <v>348</v>
      </c>
      <c r="J188" s="16" t="s">
        <v>348</v>
      </c>
      <c r="K188" s="16" t="s">
        <v>348</v>
      </c>
      <c r="L188" s="16" t="s">
        <v>348</v>
      </c>
      <c r="M188" s="16" t="s">
        <v>348</v>
      </c>
      <c r="N188" s="16" t="s">
        <v>348</v>
      </c>
      <c r="O188" s="16" t="s">
        <v>348</v>
      </c>
      <c r="P188" s="16" t="s">
        <v>348</v>
      </c>
    </row>
    <row r="189" spans="1:16">
      <c r="A189" s="16" t="s">
        <v>344</v>
      </c>
      <c r="B189" s="17" t="s">
        <v>345</v>
      </c>
      <c r="C189" s="16" t="s">
        <v>717</v>
      </c>
      <c r="D189" s="17" t="s">
        <v>718</v>
      </c>
      <c r="E189" s="16">
        <v>7.2841917952566471</v>
      </c>
      <c r="F189" s="16">
        <v>8.9236129336641827</v>
      </c>
      <c r="G189" s="16">
        <v>11.483858216842471</v>
      </c>
      <c r="H189" s="16">
        <v>11.547169809155189</v>
      </c>
      <c r="I189" s="16" t="s">
        <v>348</v>
      </c>
      <c r="J189" s="16" t="s">
        <v>348</v>
      </c>
      <c r="K189" s="16" t="s">
        <v>348</v>
      </c>
      <c r="L189" s="16" t="s">
        <v>348</v>
      </c>
      <c r="M189" s="16" t="s">
        <v>348</v>
      </c>
      <c r="N189" s="16" t="s">
        <v>348</v>
      </c>
      <c r="O189" s="16" t="s">
        <v>348</v>
      </c>
      <c r="P189" s="16" t="s">
        <v>348</v>
      </c>
    </row>
    <row r="190" spans="1:16">
      <c r="A190" s="16" t="s">
        <v>344</v>
      </c>
      <c r="B190" s="17" t="s">
        <v>345</v>
      </c>
      <c r="C190" s="16" t="s">
        <v>719</v>
      </c>
      <c r="D190" s="17" t="s">
        <v>720</v>
      </c>
      <c r="E190" s="16">
        <v>17.615997335108759</v>
      </c>
      <c r="F190" s="16">
        <v>19.326460873551891</v>
      </c>
      <c r="G190" s="16">
        <v>24.858105134607008</v>
      </c>
      <c r="H190" s="16">
        <v>25.823712928291471</v>
      </c>
      <c r="I190" s="16" t="s">
        <v>348</v>
      </c>
      <c r="J190" s="16" t="s">
        <v>348</v>
      </c>
      <c r="K190" s="16" t="s">
        <v>348</v>
      </c>
      <c r="L190" s="16" t="s">
        <v>348</v>
      </c>
      <c r="M190" s="16" t="s">
        <v>348</v>
      </c>
      <c r="N190" s="16" t="s">
        <v>348</v>
      </c>
      <c r="O190" s="16" t="s">
        <v>348</v>
      </c>
      <c r="P190" s="16" t="s">
        <v>348</v>
      </c>
    </row>
    <row r="191" spans="1:16">
      <c r="A191" s="16" t="s">
        <v>344</v>
      </c>
      <c r="B191" s="17" t="s">
        <v>345</v>
      </c>
      <c r="C191" s="16" t="s">
        <v>721</v>
      </c>
      <c r="D191" s="17" t="s">
        <v>722</v>
      </c>
      <c r="E191" s="16">
        <v>7.0056927422754791</v>
      </c>
      <c r="F191" s="16">
        <v>8.413295358753631</v>
      </c>
      <c r="G191" s="16">
        <v>9.9499338522125029</v>
      </c>
      <c r="H191" s="16" t="s">
        <v>348</v>
      </c>
      <c r="I191" s="16" t="s">
        <v>348</v>
      </c>
      <c r="J191" s="16" t="s">
        <v>348</v>
      </c>
      <c r="K191" s="16" t="s">
        <v>348</v>
      </c>
      <c r="L191" s="16" t="s">
        <v>348</v>
      </c>
      <c r="M191" s="16" t="s">
        <v>348</v>
      </c>
      <c r="N191" s="16" t="s">
        <v>348</v>
      </c>
      <c r="O191" s="16" t="s">
        <v>348</v>
      </c>
      <c r="P191" s="16" t="s">
        <v>348</v>
      </c>
    </row>
    <row r="192" spans="1:16">
      <c r="A192" s="16" t="s">
        <v>344</v>
      </c>
      <c r="B192" s="17" t="s">
        <v>345</v>
      </c>
      <c r="C192" s="16" t="s">
        <v>723</v>
      </c>
      <c r="D192" s="17" t="s">
        <v>724</v>
      </c>
      <c r="E192" s="16">
        <v>4.2446060267102093</v>
      </c>
      <c r="F192" s="16">
        <v>3.9932429312913542</v>
      </c>
      <c r="G192" s="16">
        <v>8.8411475514814857</v>
      </c>
      <c r="H192" s="16" t="s">
        <v>348</v>
      </c>
      <c r="I192" s="16" t="s">
        <v>348</v>
      </c>
      <c r="J192" s="16" t="s">
        <v>348</v>
      </c>
      <c r="K192" s="16" t="s">
        <v>348</v>
      </c>
      <c r="L192" s="16" t="s">
        <v>348</v>
      </c>
      <c r="M192" s="16" t="s">
        <v>348</v>
      </c>
      <c r="N192" s="16" t="s">
        <v>348</v>
      </c>
      <c r="O192" s="16" t="s">
        <v>348</v>
      </c>
      <c r="P192" s="16" t="s">
        <v>348</v>
      </c>
    </row>
    <row r="193" spans="1:17">
      <c r="A193" s="16" t="s">
        <v>344</v>
      </c>
      <c r="B193" s="17" t="s">
        <v>345</v>
      </c>
      <c r="C193" s="16" t="s">
        <v>725</v>
      </c>
      <c r="D193" s="17" t="s">
        <v>726</v>
      </c>
      <c r="E193" s="16">
        <v>4.6796770210258964</v>
      </c>
      <c r="F193" s="16">
        <v>4.5496997723579602</v>
      </c>
      <c r="G193" s="16">
        <v>5.958482262289543</v>
      </c>
      <c r="H193" s="16" t="s">
        <v>348</v>
      </c>
      <c r="I193" s="16" t="s">
        <v>348</v>
      </c>
      <c r="J193" s="16" t="s">
        <v>348</v>
      </c>
      <c r="K193" s="16" t="s">
        <v>348</v>
      </c>
      <c r="L193" s="16" t="s">
        <v>348</v>
      </c>
      <c r="M193" s="16" t="s">
        <v>348</v>
      </c>
      <c r="N193" s="16" t="s">
        <v>348</v>
      </c>
      <c r="O193" s="16" t="s">
        <v>348</v>
      </c>
      <c r="P193" s="16" t="s">
        <v>348</v>
      </c>
    </row>
    <row r="194" spans="1:17">
      <c r="A194" s="16" t="s">
        <v>344</v>
      </c>
      <c r="B194" s="17" t="s">
        <v>345</v>
      </c>
      <c r="C194" s="16" t="s">
        <v>21</v>
      </c>
      <c r="D194" s="17" t="s">
        <v>727</v>
      </c>
      <c r="E194" s="16">
        <v>11.35597487485253</v>
      </c>
      <c r="F194" s="16">
        <v>10.130461469775449</v>
      </c>
      <c r="G194" s="16">
        <v>9.5479408152977516</v>
      </c>
      <c r="H194" s="16" t="s">
        <v>348</v>
      </c>
      <c r="I194" s="16" t="s">
        <v>348</v>
      </c>
      <c r="J194" s="16" t="s">
        <v>348</v>
      </c>
      <c r="K194" s="16" t="s">
        <v>348</v>
      </c>
      <c r="L194" s="16" t="s">
        <v>348</v>
      </c>
      <c r="M194" s="16" t="s">
        <v>348</v>
      </c>
      <c r="N194" s="16" t="s">
        <v>348</v>
      </c>
      <c r="O194" s="16" t="s">
        <v>348</v>
      </c>
      <c r="P194" s="16" t="s">
        <v>348</v>
      </c>
      <c r="Q194" s="18">
        <f>1/F194*1000</f>
        <v>98.712186308938783</v>
      </c>
    </row>
    <row r="195" spans="1:17">
      <c r="A195" s="16" t="s">
        <v>344</v>
      </c>
      <c r="B195" s="17" t="s">
        <v>345</v>
      </c>
      <c r="C195" s="16" t="s">
        <v>728</v>
      </c>
      <c r="D195" s="17" t="s">
        <v>729</v>
      </c>
      <c r="E195" s="16" t="s">
        <v>348</v>
      </c>
      <c r="F195" s="16" t="s">
        <v>348</v>
      </c>
      <c r="G195" s="16" t="s">
        <v>348</v>
      </c>
      <c r="H195" s="16" t="s">
        <v>348</v>
      </c>
      <c r="I195" s="16" t="s">
        <v>348</v>
      </c>
      <c r="J195" s="16" t="s">
        <v>348</v>
      </c>
      <c r="K195" s="16" t="s">
        <v>348</v>
      </c>
      <c r="L195" s="16" t="s">
        <v>348</v>
      </c>
      <c r="M195" s="16" t="s">
        <v>348</v>
      </c>
      <c r="N195" s="16" t="s">
        <v>348</v>
      </c>
      <c r="O195" s="16" t="s">
        <v>348</v>
      </c>
      <c r="P195" s="16" t="s">
        <v>348</v>
      </c>
    </row>
    <row r="196" spans="1:17">
      <c r="A196" s="16" t="s">
        <v>344</v>
      </c>
      <c r="B196" s="17" t="s">
        <v>345</v>
      </c>
      <c r="C196" s="16" t="s">
        <v>730</v>
      </c>
      <c r="D196" s="17" t="s">
        <v>731</v>
      </c>
      <c r="E196" s="16">
        <v>6.8728777706410797</v>
      </c>
      <c r="F196" s="16">
        <v>5.1062441478005143</v>
      </c>
      <c r="G196" s="16">
        <v>5.100798194688883</v>
      </c>
      <c r="H196" s="16" t="s">
        <v>348</v>
      </c>
      <c r="I196" s="16" t="s">
        <v>348</v>
      </c>
      <c r="J196" s="16" t="s">
        <v>348</v>
      </c>
      <c r="K196" s="16" t="s">
        <v>348</v>
      </c>
      <c r="L196" s="16" t="s">
        <v>348</v>
      </c>
      <c r="M196" s="16" t="s">
        <v>348</v>
      </c>
      <c r="N196" s="16" t="s">
        <v>348</v>
      </c>
      <c r="O196" s="16" t="s">
        <v>348</v>
      </c>
      <c r="P196" s="16" t="s">
        <v>348</v>
      </c>
    </row>
    <row r="197" spans="1:17">
      <c r="A197" s="16" t="s">
        <v>344</v>
      </c>
      <c r="B197" s="17" t="s">
        <v>345</v>
      </c>
      <c r="C197" s="16" t="s">
        <v>732</v>
      </c>
      <c r="D197" s="17" t="s">
        <v>733</v>
      </c>
      <c r="E197" s="16">
        <v>17.65340788549689</v>
      </c>
      <c r="F197" s="16" t="s">
        <v>348</v>
      </c>
      <c r="G197" s="16" t="s">
        <v>348</v>
      </c>
      <c r="H197" s="16" t="s">
        <v>348</v>
      </c>
      <c r="I197" s="16" t="s">
        <v>348</v>
      </c>
      <c r="J197" s="16" t="s">
        <v>348</v>
      </c>
      <c r="K197" s="16" t="s">
        <v>348</v>
      </c>
      <c r="L197" s="16" t="s">
        <v>348</v>
      </c>
      <c r="M197" s="16" t="s">
        <v>348</v>
      </c>
      <c r="N197" s="16" t="s">
        <v>348</v>
      </c>
      <c r="O197" s="16" t="s">
        <v>348</v>
      </c>
      <c r="P197" s="16" t="s">
        <v>348</v>
      </c>
    </row>
    <row r="198" spans="1:17">
      <c r="A198" s="16" t="s">
        <v>344</v>
      </c>
      <c r="B198" s="17" t="s">
        <v>345</v>
      </c>
      <c r="C198" s="16" t="s">
        <v>734</v>
      </c>
      <c r="D198" s="17" t="s">
        <v>735</v>
      </c>
      <c r="E198" s="16">
        <v>2.50212134079813</v>
      </c>
      <c r="F198" s="16">
        <v>2.654948055137909</v>
      </c>
      <c r="G198" s="16">
        <v>2.7477602034254769</v>
      </c>
      <c r="H198" s="16" t="s">
        <v>348</v>
      </c>
      <c r="I198" s="16" t="s">
        <v>348</v>
      </c>
      <c r="J198" s="16" t="s">
        <v>348</v>
      </c>
      <c r="K198" s="16" t="s">
        <v>348</v>
      </c>
      <c r="L198" s="16" t="s">
        <v>348</v>
      </c>
      <c r="M198" s="16" t="s">
        <v>348</v>
      </c>
      <c r="N198" s="16" t="s">
        <v>348</v>
      </c>
      <c r="O198" s="16" t="s">
        <v>348</v>
      </c>
      <c r="P198" s="16" t="s">
        <v>348</v>
      </c>
    </row>
    <row r="199" spans="1:17">
      <c r="A199" s="16" t="s">
        <v>344</v>
      </c>
      <c r="B199" s="17" t="s">
        <v>345</v>
      </c>
      <c r="C199" s="16" t="s">
        <v>736</v>
      </c>
      <c r="D199" s="17" t="s">
        <v>737</v>
      </c>
      <c r="E199" s="16">
        <v>11.283255982408299</v>
      </c>
      <c r="F199" s="16">
        <v>12.141187120650759</v>
      </c>
      <c r="G199" s="16">
        <v>13.6731763458538</v>
      </c>
      <c r="H199" s="16" t="s">
        <v>348</v>
      </c>
      <c r="I199" s="16" t="s">
        <v>348</v>
      </c>
      <c r="J199" s="16" t="s">
        <v>348</v>
      </c>
      <c r="K199" s="16" t="s">
        <v>348</v>
      </c>
      <c r="L199" s="16" t="s">
        <v>348</v>
      </c>
      <c r="M199" s="16" t="s">
        <v>348</v>
      </c>
      <c r="N199" s="16" t="s">
        <v>348</v>
      </c>
      <c r="O199" s="16" t="s">
        <v>348</v>
      </c>
      <c r="P199" s="16" t="s">
        <v>348</v>
      </c>
    </row>
    <row r="200" spans="1:17">
      <c r="A200" s="16" t="s">
        <v>344</v>
      </c>
      <c r="B200" s="17" t="s">
        <v>345</v>
      </c>
      <c r="C200" s="16" t="s">
        <v>738</v>
      </c>
      <c r="D200" s="17" t="s">
        <v>739</v>
      </c>
      <c r="E200" s="16">
        <v>12.750157602506629</v>
      </c>
      <c r="F200" s="16">
        <v>12.68272558941328</v>
      </c>
      <c r="G200" s="16">
        <v>15.60483227599229</v>
      </c>
      <c r="H200" s="16">
        <v>15.51527952919246</v>
      </c>
      <c r="I200" s="16" t="s">
        <v>348</v>
      </c>
      <c r="J200" s="16" t="s">
        <v>348</v>
      </c>
      <c r="K200" s="16" t="s">
        <v>348</v>
      </c>
      <c r="L200" s="16" t="s">
        <v>348</v>
      </c>
      <c r="M200" s="16" t="s">
        <v>348</v>
      </c>
      <c r="N200" s="16" t="s">
        <v>348</v>
      </c>
      <c r="O200" s="16" t="s">
        <v>348</v>
      </c>
      <c r="P200" s="16" t="s">
        <v>348</v>
      </c>
    </row>
    <row r="201" spans="1:17">
      <c r="A201" s="16" t="s">
        <v>344</v>
      </c>
      <c r="B201" s="17" t="s">
        <v>345</v>
      </c>
      <c r="C201" s="16" t="s">
        <v>740</v>
      </c>
      <c r="D201" s="17" t="s">
        <v>741</v>
      </c>
      <c r="E201" s="16">
        <v>1.701400165535057</v>
      </c>
      <c r="F201" s="16">
        <v>1.574575099326873</v>
      </c>
      <c r="G201" s="16">
        <v>2.8491091742911658</v>
      </c>
      <c r="H201" s="16" t="s">
        <v>348</v>
      </c>
      <c r="I201" s="16" t="s">
        <v>348</v>
      </c>
      <c r="J201" s="16" t="s">
        <v>348</v>
      </c>
      <c r="K201" s="16" t="s">
        <v>348</v>
      </c>
      <c r="L201" s="16" t="s">
        <v>348</v>
      </c>
      <c r="M201" s="16" t="s">
        <v>348</v>
      </c>
      <c r="N201" s="16" t="s">
        <v>348</v>
      </c>
      <c r="O201" s="16" t="s">
        <v>348</v>
      </c>
      <c r="P201" s="16" t="s">
        <v>348</v>
      </c>
    </row>
    <row r="202" spans="1:17">
      <c r="A202" s="16" t="s">
        <v>344</v>
      </c>
      <c r="B202" s="17" t="s">
        <v>345</v>
      </c>
      <c r="C202" s="16" t="s">
        <v>742</v>
      </c>
      <c r="D202" s="17" t="s">
        <v>743</v>
      </c>
      <c r="E202" s="16" t="s">
        <v>348</v>
      </c>
      <c r="F202" s="16" t="s">
        <v>348</v>
      </c>
      <c r="G202" s="16" t="s">
        <v>348</v>
      </c>
      <c r="H202" s="16" t="s">
        <v>348</v>
      </c>
      <c r="I202" s="16" t="s">
        <v>348</v>
      </c>
      <c r="J202" s="16" t="s">
        <v>348</v>
      </c>
      <c r="K202" s="16" t="s">
        <v>348</v>
      </c>
      <c r="L202" s="16" t="s">
        <v>348</v>
      </c>
      <c r="M202" s="16" t="s">
        <v>348</v>
      </c>
      <c r="N202" s="16" t="s">
        <v>348</v>
      </c>
      <c r="O202" s="16" t="s">
        <v>348</v>
      </c>
      <c r="P202" s="16" t="s">
        <v>348</v>
      </c>
    </row>
    <row r="203" spans="1:17">
      <c r="A203" s="16" t="s">
        <v>344</v>
      </c>
      <c r="B203" s="17" t="s">
        <v>345</v>
      </c>
      <c r="C203" s="16" t="s">
        <v>744</v>
      </c>
      <c r="D203" s="17" t="s">
        <v>745</v>
      </c>
      <c r="E203" s="16" t="s">
        <v>348</v>
      </c>
      <c r="F203" s="16" t="s">
        <v>348</v>
      </c>
      <c r="G203" s="16" t="s">
        <v>348</v>
      </c>
      <c r="H203" s="16" t="s">
        <v>348</v>
      </c>
      <c r="I203" s="16" t="s">
        <v>348</v>
      </c>
      <c r="J203" s="16" t="s">
        <v>348</v>
      </c>
      <c r="K203" s="16" t="s">
        <v>348</v>
      </c>
      <c r="L203" s="16" t="s">
        <v>348</v>
      </c>
      <c r="M203" s="16" t="s">
        <v>348</v>
      </c>
      <c r="N203" s="16" t="s">
        <v>348</v>
      </c>
      <c r="O203" s="16" t="s">
        <v>348</v>
      </c>
      <c r="P203" s="16" t="s">
        <v>348</v>
      </c>
    </row>
    <row r="204" spans="1:17">
      <c r="A204" s="16" t="s">
        <v>344</v>
      </c>
      <c r="B204" s="17" t="s">
        <v>345</v>
      </c>
      <c r="C204" s="16" t="s">
        <v>746</v>
      </c>
      <c r="D204" s="17" t="s">
        <v>747</v>
      </c>
      <c r="E204" s="16" t="s">
        <v>348</v>
      </c>
      <c r="F204" s="16" t="s">
        <v>348</v>
      </c>
      <c r="G204" s="16" t="s">
        <v>348</v>
      </c>
      <c r="H204" s="16" t="s">
        <v>348</v>
      </c>
      <c r="I204" s="16" t="s">
        <v>348</v>
      </c>
      <c r="J204" s="16" t="s">
        <v>348</v>
      </c>
      <c r="K204" s="16" t="s">
        <v>348</v>
      </c>
      <c r="L204" s="16" t="s">
        <v>348</v>
      </c>
      <c r="M204" s="16" t="s">
        <v>348</v>
      </c>
      <c r="N204" s="16" t="s">
        <v>348</v>
      </c>
      <c r="O204" s="16" t="s">
        <v>348</v>
      </c>
      <c r="P204" s="16" t="s">
        <v>348</v>
      </c>
    </row>
    <row r="205" spans="1:17">
      <c r="A205" s="16" t="s">
        <v>344</v>
      </c>
      <c r="B205" s="17" t="s">
        <v>345</v>
      </c>
      <c r="C205" s="16" t="s">
        <v>748</v>
      </c>
      <c r="D205" s="17" t="s">
        <v>749</v>
      </c>
      <c r="E205" s="16">
        <v>4.712583568667764</v>
      </c>
      <c r="F205" s="16">
        <v>3.8388015011586831</v>
      </c>
      <c r="G205" s="16">
        <v>7.0209711991104129</v>
      </c>
      <c r="H205" s="16" t="s">
        <v>348</v>
      </c>
      <c r="I205" s="16" t="s">
        <v>348</v>
      </c>
      <c r="J205" s="16" t="s">
        <v>348</v>
      </c>
      <c r="K205" s="16" t="s">
        <v>348</v>
      </c>
      <c r="L205" s="16" t="s">
        <v>348</v>
      </c>
      <c r="M205" s="16" t="s">
        <v>348</v>
      </c>
      <c r="N205" s="16" t="s">
        <v>348</v>
      </c>
      <c r="O205" s="16" t="s">
        <v>348</v>
      </c>
      <c r="P205" s="16" t="s">
        <v>348</v>
      </c>
    </row>
    <row r="206" spans="1:17">
      <c r="A206" s="16" t="s">
        <v>344</v>
      </c>
      <c r="B206" s="17" t="s">
        <v>345</v>
      </c>
      <c r="C206" s="16" t="s">
        <v>750</v>
      </c>
      <c r="D206" s="17" t="s">
        <v>751</v>
      </c>
      <c r="E206" s="16">
        <v>10.042859688310759</v>
      </c>
      <c r="F206" s="16">
        <v>10.256922668372651</v>
      </c>
      <c r="G206" s="16">
        <v>7.9376846851685343</v>
      </c>
      <c r="H206" s="16" t="s">
        <v>348</v>
      </c>
      <c r="I206" s="16" t="s">
        <v>348</v>
      </c>
      <c r="J206" s="16" t="s">
        <v>348</v>
      </c>
      <c r="K206" s="16" t="s">
        <v>348</v>
      </c>
      <c r="L206" s="16" t="s">
        <v>348</v>
      </c>
      <c r="M206" s="16" t="s">
        <v>348</v>
      </c>
      <c r="N206" s="16" t="s">
        <v>348</v>
      </c>
      <c r="O206" s="16" t="s">
        <v>348</v>
      </c>
      <c r="P206" s="16" t="s">
        <v>348</v>
      </c>
    </row>
    <row r="207" spans="1:17">
      <c r="A207" s="16" t="s">
        <v>344</v>
      </c>
      <c r="B207" s="17" t="s">
        <v>345</v>
      </c>
      <c r="C207" s="16" t="s">
        <v>752</v>
      </c>
      <c r="D207" s="17" t="s">
        <v>753</v>
      </c>
      <c r="E207" s="16">
        <v>9.5390493165023482</v>
      </c>
      <c r="F207" s="16">
        <v>11.425289771870039</v>
      </c>
      <c r="G207" s="16">
        <v>17.74037451232978</v>
      </c>
      <c r="H207" s="16">
        <v>18.07486335711846</v>
      </c>
      <c r="I207" s="16" t="s">
        <v>348</v>
      </c>
      <c r="J207" s="16" t="s">
        <v>348</v>
      </c>
      <c r="K207" s="16" t="s">
        <v>348</v>
      </c>
      <c r="L207" s="16" t="s">
        <v>348</v>
      </c>
      <c r="M207" s="16" t="s">
        <v>348</v>
      </c>
      <c r="N207" s="16" t="s">
        <v>348</v>
      </c>
      <c r="O207" s="16" t="s">
        <v>348</v>
      </c>
      <c r="P207" s="16" t="s">
        <v>348</v>
      </c>
    </row>
    <row r="208" spans="1:17">
      <c r="A208" s="16" t="s">
        <v>344</v>
      </c>
      <c r="B208" s="17" t="s">
        <v>345</v>
      </c>
      <c r="C208" s="16" t="s">
        <v>754</v>
      </c>
      <c r="D208" s="17" t="s">
        <v>755</v>
      </c>
      <c r="E208" s="16">
        <v>5.7846502557438937</v>
      </c>
      <c r="F208" s="16">
        <v>6.8312712640155286</v>
      </c>
      <c r="G208" s="16">
        <v>9.0783100930375458</v>
      </c>
      <c r="H208" s="16">
        <v>9.4908054653883767</v>
      </c>
      <c r="I208" s="16" t="s">
        <v>348</v>
      </c>
      <c r="J208" s="16" t="s">
        <v>348</v>
      </c>
      <c r="K208" s="16" t="s">
        <v>348</v>
      </c>
      <c r="L208" s="16" t="s">
        <v>348</v>
      </c>
      <c r="M208" s="16" t="s">
        <v>348</v>
      </c>
      <c r="N208" s="16" t="s">
        <v>348</v>
      </c>
      <c r="O208" s="16" t="s">
        <v>348</v>
      </c>
      <c r="P208" s="16" t="s">
        <v>348</v>
      </c>
    </row>
    <row r="209" spans="1:17">
      <c r="A209" s="16" t="s">
        <v>344</v>
      </c>
      <c r="B209" s="17" t="s">
        <v>345</v>
      </c>
      <c r="C209" s="16" t="s">
        <v>756</v>
      </c>
      <c r="D209" s="17" t="s">
        <v>757</v>
      </c>
      <c r="E209" s="16">
        <v>19.453296286669278</v>
      </c>
      <c r="F209" s="16">
        <v>19.87363437758038</v>
      </c>
      <c r="G209" s="16">
        <v>20.672591168652509</v>
      </c>
      <c r="H209" s="16" t="s">
        <v>348</v>
      </c>
      <c r="I209" s="16" t="s">
        <v>348</v>
      </c>
      <c r="J209" s="16" t="s">
        <v>348</v>
      </c>
      <c r="K209" s="16" t="s">
        <v>348</v>
      </c>
      <c r="L209" s="16" t="s">
        <v>348</v>
      </c>
      <c r="M209" s="16" t="s">
        <v>348</v>
      </c>
      <c r="N209" s="16" t="s">
        <v>348</v>
      </c>
      <c r="O209" s="16" t="s">
        <v>348</v>
      </c>
      <c r="P209" s="16" t="s">
        <v>348</v>
      </c>
    </row>
    <row r="210" spans="1:17">
      <c r="A210" s="16" t="s">
        <v>344</v>
      </c>
      <c r="B210" s="17" t="s">
        <v>345</v>
      </c>
      <c r="C210" s="16" t="s">
        <v>758</v>
      </c>
      <c r="D210" s="17" t="s">
        <v>759</v>
      </c>
      <c r="E210" s="16">
        <v>1.8601333295073359</v>
      </c>
      <c r="F210" s="16">
        <v>1.6619414205257019</v>
      </c>
      <c r="G210" s="16" t="s">
        <v>348</v>
      </c>
      <c r="H210" s="16" t="s">
        <v>348</v>
      </c>
      <c r="I210" s="16" t="s">
        <v>348</v>
      </c>
      <c r="J210" s="16" t="s">
        <v>348</v>
      </c>
      <c r="K210" s="16" t="s">
        <v>348</v>
      </c>
      <c r="L210" s="16" t="s">
        <v>348</v>
      </c>
      <c r="M210" s="16" t="s">
        <v>348</v>
      </c>
      <c r="N210" s="16" t="s">
        <v>348</v>
      </c>
      <c r="O210" s="16" t="s">
        <v>348</v>
      </c>
      <c r="P210" s="16" t="s">
        <v>348</v>
      </c>
    </row>
    <row r="211" spans="1:17">
      <c r="A211" s="16" t="s">
        <v>344</v>
      </c>
      <c r="B211" s="17" t="s">
        <v>345</v>
      </c>
      <c r="C211" s="16" t="s">
        <v>760</v>
      </c>
      <c r="D211" s="17" t="s">
        <v>761</v>
      </c>
      <c r="E211" s="16">
        <v>19.69817537513347</v>
      </c>
      <c r="F211" s="16" t="s">
        <v>348</v>
      </c>
      <c r="G211" s="16" t="s">
        <v>348</v>
      </c>
      <c r="H211" s="16" t="s">
        <v>348</v>
      </c>
      <c r="I211" s="16" t="s">
        <v>348</v>
      </c>
      <c r="J211" s="16" t="s">
        <v>348</v>
      </c>
      <c r="K211" s="16" t="s">
        <v>348</v>
      </c>
      <c r="L211" s="16" t="s">
        <v>348</v>
      </c>
      <c r="M211" s="16" t="s">
        <v>348</v>
      </c>
      <c r="N211" s="16" t="s">
        <v>348</v>
      </c>
      <c r="O211" s="16" t="s">
        <v>348</v>
      </c>
      <c r="P211" s="16" t="s">
        <v>348</v>
      </c>
    </row>
    <row r="212" spans="1:17">
      <c r="A212" s="16" t="s">
        <v>344</v>
      </c>
      <c r="B212" s="17" t="s">
        <v>345</v>
      </c>
      <c r="C212" s="16" t="s">
        <v>762</v>
      </c>
      <c r="D212" s="17" t="s">
        <v>763</v>
      </c>
      <c r="E212" s="16" t="s">
        <v>348</v>
      </c>
      <c r="F212" s="16" t="s">
        <v>348</v>
      </c>
      <c r="G212" s="16" t="s">
        <v>348</v>
      </c>
      <c r="H212" s="16" t="s">
        <v>348</v>
      </c>
      <c r="I212" s="16" t="s">
        <v>348</v>
      </c>
      <c r="J212" s="16" t="s">
        <v>348</v>
      </c>
      <c r="K212" s="16" t="s">
        <v>348</v>
      </c>
      <c r="L212" s="16" t="s">
        <v>348</v>
      </c>
      <c r="M212" s="16" t="s">
        <v>348</v>
      </c>
      <c r="N212" s="16" t="s">
        <v>348</v>
      </c>
      <c r="O212" s="16" t="s">
        <v>348</v>
      </c>
      <c r="P212" s="16" t="s">
        <v>348</v>
      </c>
    </row>
    <row r="213" spans="1:17">
      <c r="A213" s="16" t="s">
        <v>344</v>
      </c>
      <c r="B213" s="17" t="s">
        <v>345</v>
      </c>
      <c r="C213" s="16" t="s">
        <v>764</v>
      </c>
      <c r="D213" s="17" t="s">
        <v>765</v>
      </c>
      <c r="E213" s="16">
        <v>9.0486133682520684</v>
      </c>
      <c r="F213" s="16">
        <v>11.677319898680629</v>
      </c>
      <c r="G213" s="16" t="s">
        <v>348</v>
      </c>
      <c r="H213" s="16" t="s">
        <v>348</v>
      </c>
      <c r="I213" s="16" t="s">
        <v>348</v>
      </c>
      <c r="J213" s="16" t="s">
        <v>348</v>
      </c>
      <c r="K213" s="16" t="s">
        <v>348</v>
      </c>
      <c r="L213" s="16" t="s">
        <v>348</v>
      </c>
      <c r="M213" s="16" t="s">
        <v>348</v>
      </c>
      <c r="N213" s="16" t="s">
        <v>348</v>
      </c>
      <c r="O213" s="16" t="s">
        <v>348</v>
      </c>
      <c r="P213" s="16" t="s">
        <v>348</v>
      </c>
      <c r="Q213" s="18">
        <f>1/F213*1000</f>
        <v>85.636088475488776</v>
      </c>
    </row>
    <row r="214" spans="1:17">
      <c r="A214" s="16" t="s">
        <v>344</v>
      </c>
      <c r="B214" s="17" t="s">
        <v>345</v>
      </c>
      <c r="C214" s="16" t="s">
        <v>766</v>
      </c>
      <c r="D214" s="17" t="s">
        <v>767</v>
      </c>
      <c r="E214" s="16" t="s">
        <v>348</v>
      </c>
      <c r="F214" s="16" t="s">
        <v>348</v>
      </c>
      <c r="G214" s="16" t="s">
        <v>348</v>
      </c>
      <c r="H214" s="16" t="s">
        <v>348</v>
      </c>
      <c r="I214" s="16" t="s">
        <v>348</v>
      </c>
      <c r="J214" s="16" t="s">
        <v>348</v>
      </c>
      <c r="K214" s="16" t="s">
        <v>348</v>
      </c>
      <c r="L214" s="16" t="s">
        <v>348</v>
      </c>
      <c r="M214" s="16" t="s">
        <v>348</v>
      </c>
      <c r="N214" s="16" t="s">
        <v>348</v>
      </c>
      <c r="O214" s="16" t="s">
        <v>348</v>
      </c>
      <c r="P214" s="16" t="s">
        <v>348</v>
      </c>
    </row>
    <row r="215" spans="1:17">
      <c r="A215" s="16" t="s">
        <v>344</v>
      </c>
      <c r="B215" s="17" t="s">
        <v>345</v>
      </c>
      <c r="C215" s="16" t="s">
        <v>768</v>
      </c>
      <c r="D215" s="17" t="s">
        <v>769</v>
      </c>
      <c r="E215" s="16" t="s">
        <v>348</v>
      </c>
      <c r="F215" s="16" t="s">
        <v>348</v>
      </c>
      <c r="G215" s="16" t="s">
        <v>348</v>
      </c>
      <c r="H215" s="16" t="s">
        <v>348</v>
      </c>
      <c r="I215" s="16" t="s">
        <v>348</v>
      </c>
      <c r="J215" s="16" t="s">
        <v>348</v>
      </c>
      <c r="K215" s="16" t="s">
        <v>348</v>
      </c>
      <c r="L215" s="16" t="s">
        <v>348</v>
      </c>
      <c r="M215" s="16" t="s">
        <v>348</v>
      </c>
      <c r="N215" s="16" t="s">
        <v>348</v>
      </c>
      <c r="O215" s="16" t="s">
        <v>348</v>
      </c>
      <c r="P215" s="16" t="s">
        <v>348</v>
      </c>
    </row>
    <row r="216" spans="1:17">
      <c r="A216" s="16" t="s">
        <v>344</v>
      </c>
      <c r="B216" s="17" t="s">
        <v>345</v>
      </c>
      <c r="C216" s="16" t="s">
        <v>770</v>
      </c>
      <c r="D216" s="17" t="s">
        <v>771</v>
      </c>
      <c r="E216" s="16" t="s">
        <v>348</v>
      </c>
      <c r="F216" s="16" t="s">
        <v>348</v>
      </c>
      <c r="G216" s="16" t="s">
        <v>348</v>
      </c>
      <c r="H216" s="16" t="s">
        <v>348</v>
      </c>
      <c r="I216" s="16" t="s">
        <v>348</v>
      </c>
      <c r="J216" s="16" t="s">
        <v>348</v>
      </c>
      <c r="K216" s="16" t="s">
        <v>348</v>
      </c>
      <c r="L216" s="16" t="s">
        <v>348</v>
      </c>
      <c r="M216" s="16" t="s">
        <v>348</v>
      </c>
      <c r="N216" s="16" t="s">
        <v>348</v>
      </c>
      <c r="O216" s="16" t="s">
        <v>348</v>
      </c>
      <c r="P216" s="16" t="s">
        <v>348</v>
      </c>
    </row>
    <row r="217" spans="1:17">
      <c r="A217" s="16" t="s">
        <v>344</v>
      </c>
      <c r="B217" s="17" t="s">
        <v>345</v>
      </c>
      <c r="C217" s="16" t="s">
        <v>772</v>
      </c>
      <c r="D217" s="17" t="s">
        <v>773</v>
      </c>
      <c r="E217" s="16">
        <v>3.465083187114244</v>
      </c>
      <c r="F217" s="16">
        <v>3.559213708585264</v>
      </c>
      <c r="G217" s="16" t="s">
        <v>348</v>
      </c>
      <c r="H217" s="16" t="s">
        <v>348</v>
      </c>
      <c r="I217" s="16" t="s">
        <v>348</v>
      </c>
      <c r="J217" s="16" t="s">
        <v>348</v>
      </c>
      <c r="K217" s="16" t="s">
        <v>348</v>
      </c>
      <c r="L217" s="16" t="s">
        <v>348</v>
      </c>
      <c r="M217" s="16" t="s">
        <v>348</v>
      </c>
      <c r="N217" s="16" t="s">
        <v>348</v>
      </c>
      <c r="O217" s="16" t="s">
        <v>348</v>
      </c>
      <c r="P217" s="16" t="s">
        <v>348</v>
      </c>
    </row>
    <row r="218" spans="1:17">
      <c r="A218" s="16" t="s">
        <v>344</v>
      </c>
      <c r="B218" s="17" t="s">
        <v>345</v>
      </c>
      <c r="C218" s="16" t="s">
        <v>774</v>
      </c>
      <c r="D218" s="17" t="s">
        <v>775</v>
      </c>
      <c r="E218" s="16">
        <v>4.3759041283230644</v>
      </c>
      <c r="F218" s="16">
        <v>4.8371455116538131</v>
      </c>
      <c r="G218" s="16" t="s">
        <v>348</v>
      </c>
      <c r="H218" s="16" t="s">
        <v>348</v>
      </c>
      <c r="I218" s="16" t="s">
        <v>348</v>
      </c>
      <c r="J218" s="16" t="s">
        <v>348</v>
      </c>
      <c r="K218" s="16" t="s">
        <v>348</v>
      </c>
      <c r="L218" s="16" t="s">
        <v>348</v>
      </c>
      <c r="M218" s="16" t="s">
        <v>348</v>
      </c>
      <c r="N218" s="16" t="s">
        <v>348</v>
      </c>
      <c r="O218" s="16" t="s">
        <v>348</v>
      </c>
      <c r="P218" s="16" t="s">
        <v>348</v>
      </c>
    </row>
    <row r="219" spans="1:17">
      <c r="A219" s="16" t="s">
        <v>344</v>
      </c>
      <c r="B219" s="17" t="s">
        <v>345</v>
      </c>
      <c r="C219" s="16" t="s">
        <v>776</v>
      </c>
      <c r="D219" s="17" t="s">
        <v>777</v>
      </c>
      <c r="E219" s="16">
        <v>5.1349584336071903</v>
      </c>
      <c r="F219" s="16">
        <v>5.0375685068228542</v>
      </c>
      <c r="G219" s="16">
        <v>6.3300615073229114</v>
      </c>
      <c r="H219" s="16" t="s">
        <v>348</v>
      </c>
      <c r="I219" s="16" t="s">
        <v>348</v>
      </c>
      <c r="J219" s="16" t="s">
        <v>348</v>
      </c>
      <c r="K219" s="16" t="s">
        <v>348</v>
      </c>
      <c r="L219" s="16" t="s">
        <v>348</v>
      </c>
      <c r="M219" s="16" t="s">
        <v>348</v>
      </c>
      <c r="N219" s="16" t="s">
        <v>348</v>
      </c>
      <c r="O219" s="16" t="s">
        <v>348</v>
      </c>
      <c r="P219" s="16" t="s">
        <v>348</v>
      </c>
    </row>
    <row r="220" spans="1:17">
      <c r="A220" s="16" t="s">
        <v>344</v>
      </c>
      <c r="B220" s="17" t="s">
        <v>345</v>
      </c>
      <c r="C220" s="16" t="s">
        <v>778</v>
      </c>
      <c r="D220" s="17" t="s">
        <v>779</v>
      </c>
      <c r="E220" s="16">
        <v>6.8938635211290329</v>
      </c>
      <c r="F220" s="16">
        <v>6.48199772429221</v>
      </c>
      <c r="G220" s="16">
        <v>9.0908330857629682</v>
      </c>
      <c r="H220" s="16" t="s">
        <v>348</v>
      </c>
      <c r="I220" s="16" t="s">
        <v>348</v>
      </c>
      <c r="J220" s="16" t="s">
        <v>348</v>
      </c>
      <c r="K220" s="16" t="s">
        <v>348</v>
      </c>
      <c r="L220" s="16" t="s">
        <v>348</v>
      </c>
      <c r="M220" s="16" t="s">
        <v>348</v>
      </c>
      <c r="N220" s="16" t="s">
        <v>348</v>
      </c>
      <c r="O220" s="16" t="s">
        <v>348</v>
      </c>
      <c r="P220" s="16" t="s">
        <v>348</v>
      </c>
    </row>
    <row r="221" spans="1:17">
      <c r="A221" s="16" t="s">
        <v>344</v>
      </c>
      <c r="B221" s="17" t="s">
        <v>345</v>
      </c>
      <c r="C221" s="16" t="s">
        <v>780</v>
      </c>
      <c r="D221" s="17" t="s">
        <v>781</v>
      </c>
      <c r="E221" s="16">
        <v>10.571455462146231</v>
      </c>
      <c r="F221" s="16">
        <v>10.38694241453833</v>
      </c>
      <c r="G221" s="16">
        <v>9.1997389054974867</v>
      </c>
      <c r="H221" s="16" t="s">
        <v>348</v>
      </c>
      <c r="I221" s="16" t="s">
        <v>348</v>
      </c>
      <c r="J221" s="16" t="s">
        <v>348</v>
      </c>
      <c r="K221" s="16" t="s">
        <v>348</v>
      </c>
      <c r="L221" s="16" t="s">
        <v>348</v>
      </c>
      <c r="M221" s="16" t="s">
        <v>348</v>
      </c>
      <c r="N221" s="16" t="s">
        <v>348</v>
      </c>
      <c r="O221" s="16" t="s">
        <v>348</v>
      </c>
      <c r="P221" s="16" t="s">
        <v>348</v>
      </c>
    </row>
    <row r="222" spans="1:17">
      <c r="A222" s="16" t="s">
        <v>344</v>
      </c>
      <c r="B222" s="17" t="s">
        <v>345</v>
      </c>
      <c r="C222" s="16" t="s">
        <v>782</v>
      </c>
      <c r="D222" s="17" t="s">
        <v>783</v>
      </c>
      <c r="E222" s="16">
        <v>14.81132674514215</v>
      </c>
      <c r="F222" s="16" t="s">
        <v>348</v>
      </c>
      <c r="G222" s="16" t="s">
        <v>348</v>
      </c>
      <c r="H222" s="16" t="s">
        <v>348</v>
      </c>
      <c r="I222" s="16" t="s">
        <v>348</v>
      </c>
      <c r="J222" s="16" t="s">
        <v>348</v>
      </c>
      <c r="K222" s="16" t="s">
        <v>348</v>
      </c>
      <c r="L222" s="16" t="s">
        <v>348</v>
      </c>
      <c r="M222" s="16" t="s">
        <v>348</v>
      </c>
      <c r="N222" s="16" t="s">
        <v>348</v>
      </c>
      <c r="O222" s="16" t="s">
        <v>348</v>
      </c>
      <c r="P222" s="16" t="s">
        <v>348</v>
      </c>
    </row>
    <row r="223" spans="1:17">
      <c r="A223" s="16" t="s">
        <v>344</v>
      </c>
      <c r="B223" s="17" t="s">
        <v>345</v>
      </c>
      <c r="C223" s="16" t="s">
        <v>784</v>
      </c>
      <c r="D223" s="17" t="s">
        <v>785</v>
      </c>
      <c r="E223" s="16">
        <v>5.5923950024058922</v>
      </c>
      <c r="F223" s="16">
        <v>7.933784214617952</v>
      </c>
      <c r="G223" s="16">
        <v>12.409030052611969</v>
      </c>
      <c r="H223" s="16" t="s">
        <v>348</v>
      </c>
      <c r="I223" s="16" t="s">
        <v>348</v>
      </c>
      <c r="J223" s="16" t="s">
        <v>348</v>
      </c>
      <c r="K223" s="16" t="s">
        <v>348</v>
      </c>
      <c r="L223" s="16" t="s">
        <v>348</v>
      </c>
      <c r="M223" s="16" t="s">
        <v>348</v>
      </c>
      <c r="N223" s="16" t="s">
        <v>348</v>
      </c>
      <c r="O223" s="16" t="s">
        <v>348</v>
      </c>
      <c r="P223" s="16" t="s">
        <v>348</v>
      </c>
    </row>
    <row r="224" spans="1:17">
      <c r="A224" s="16" t="s">
        <v>344</v>
      </c>
      <c r="B224" s="17" t="s">
        <v>345</v>
      </c>
      <c r="C224" s="16" t="s">
        <v>786</v>
      </c>
      <c r="D224" s="17" t="s">
        <v>787</v>
      </c>
      <c r="E224" s="16">
        <v>8.3651664620145088</v>
      </c>
      <c r="F224" s="16">
        <v>8.7839451417548258</v>
      </c>
      <c r="G224" s="16">
        <v>10.345966842784749</v>
      </c>
      <c r="H224" s="16" t="s">
        <v>348</v>
      </c>
      <c r="I224" s="16" t="s">
        <v>348</v>
      </c>
      <c r="J224" s="16" t="s">
        <v>348</v>
      </c>
      <c r="K224" s="16" t="s">
        <v>348</v>
      </c>
      <c r="L224" s="16" t="s">
        <v>348</v>
      </c>
      <c r="M224" s="16" t="s">
        <v>348</v>
      </c>
      <c r="N224" s="16" t="s">
        <v>348</v>
      </c>
      <c r="O224" s="16" t="s">
        <v>348</v>
      </c>
      <c r="P224" s="16" t="s">
        <v>348</v>
      </c>
    </row>
    <row r="225" spans="1:16">
      <c r="A225" s="16" t="s">
        <v>344</v>
      </c>
      <c r="B225" s="17" t="s">
        <v>345</v>
      </c>
      <c r="C225" s="16" t="s">
        <v>788</v>
      </c>
      <c r="D225" s="17" t="s">
        <v>789</v>
      </c>
      <c r="E225" s="16">
        <v>5.758189566523316</v>
      </c>
      <c r="F225" s="16">
        <v>6.8184638033316309</v>
      </c>
      <c r="G225" s="16">
        <v>7.8478627511371997</v>
      </c>
      <c r="H225" s="16" t="s">
        <v>348</v>
      </c>
      <c r="I225" s="16" t="s">
        <v>348</v>
      </c>
      <c r="J225" s="16" t="s">
        <v>348</v>
      </c>
      <c r="K225" s="16" t="s">
        <v>348</v>
      </c>
      <c r="L225" s="16" t="s">
        <v>348</v>
      </c>
      <c r="M225" s="16" t="s">
        <v>348</v>
      </c>
      <c r="N225" s="16" t="s">
        <v>348</v>
      </c>
      <c r="O225" s="16" t="s">
        <v>348</v>
      </c>
      <c r="P225" s="16" t="s">
        <v>348</v>
      </c>
    </row>
    <row r="226" spans="1:16">
      <c r="A226" s="16" t="s">
        <v>344</v>
      </c>
      <c r="B226" s="17" t="s">
        <v>345</v>
      </c>
      <c r="C226" s="16" t="s">
        <v>790</v>
      </c>
      <c r="D226" s="17" t="s">
        <v>791</v>
      </c>
      <c r="E226" s="16">
        <v>3.6110190941869398</v>
      </c>
      <c r="F226" s="16">
        <v>5.5464355177100613</v>
      </c>
      <c r="G226" s="16">
        <v>6.9124823627999818</v>
      </c>
      <c r="H226" s="16" t="s">
        <v>348</v>
      </c>
      <c r="I226" s="16" t="s">
        <v>348</v>
      </c>
      <c r="J226" s="16" t="s">
        <v>348</v>
      </c>
      <c r="K226" s="16" t="s">
        <v>348</v>
      </c>
      <c r="L226" s="16" t="s">
        <v>348</v>
      </c>
      <c r="M226" s="16" t="s">
        <v>348</v>
      </c>
      <c r="N226" s="16" t="s">
        <v>348</v>
      </c>
      <c r="O226" s="16" t="s">
        <v>348</v>
      </c>
      <c r="P226" s="16" t="s">
        <v>348</v>
      </c>
    </row>
    <row r="227" spans="1:16">
      <c r="A227" s="16" t="s">
        <v>344</v>
      </c>
      <c r="B227" s="17" t="s">
        <v>345</v>
      </c>
      <c r="C227" s="16" t="s">
        <v>792</v>
      </c>
      <c r="D227" s="17" t="s">
        <v>793</v>
      </c>
      <c r="E227" s="16">
        <v>3.611025470299861</v>
      </c>
      <c r="F227" s="16">
        <v>5.5464355177100604</v>
      </c>
      <c r="G227" s="16">
        <v>6.9124823627999818</v>
      </c>
      <c r="H227" s="16" t="s">
        <v>348</v>
      </c>
      <c r="I227" s="16" t="s">
        <v>348</v>
      </c>
      <c r="J227" s="16" t="s">
        <v>348</v>
      </c>
      <c r="K227" s="16" t="s">
        <v>348</v>
      </c>
      <c r="L227" s="16" t="s">
        <v>348</v>
      </c>
      <c r="M227" s="16" t="s">
        <v>348</v>
      </c>
      <c r="N227" s="16" t="s">
        <v>348</v>
      </c>
      <c r="O227" s="16" t="s">
        <v>348</v>
      </c>
      <c r="P227" s="16" t="s">
        <v>348</v>
      </c>
    </row>
    <row r="228" spans="1:16">
      <c r="A228" s="16" t="s">
        <v>344</v>
      </c>
      <c r="B228" s="17" t="s">
        <v>345</v>
      </c>
      <c r="C228" s="16" t="s">
        <v>794</v>
      </c>
      <c r="D228" s="17" t="s">
        <v>795</v>
      </c>
      <c r="E228" s="16">
        <v>10.847156281739901</v>
      </c>
      <c r="F228" s="16">
        <v>12.393208822060849</v>
      </c>
      <c r="G228" s="16">
        <v>15.326526265930809</v>
      </c>
      <c r="H228" s="16">
        <v>15.416754308521719</v>
      </c>
      <c r="I228" s="16" t="s">
        <v>348</v>
      </c>
      <c r="J228" s="16" t="s">
        <v>348</v>
      </c>
      <c r="K228" s="16" t="s">
        <v>348</v>
      </c>
      <c r="L228" s="16" t="s">
        <v>348</v>
      </c>
      <c r="M228" s="16" t="s">
        <v>348</v>
      </c>
      <c r="N228" s="16" t="s">
        <v>348</v>
      </c>
      <c r="O228" s="16" t="s">
        <v>348</v>
      </c>
      <c r="P228" s="16" t="s">
        <v>348</v>
      </c>
    </row>
    <row r="229" spans="1:16">
      <c r="A229" s="16" t="s">
        <v>344</v>
      </c>
      <c r="B229" s="17" t="s">
        <v>345</v>
      </c>
      <c r="C229" s="16" t="s">
        <v>796</v>
      </c>
      <c r="D229" s="17" t="s">
        <v>797</v>
      </c>
      <c r="E229" s="16">
        <v>7.5935898095840777</v>
      </c>
      <c r="F229" s="16">
        <v>9.3721872455408572</v>
      </c>
      <c r="G229" s="16">
        <v>12.44947419457354</v>
      </c>
      <c r="H229" s="16" t="s">
        <v>348</v>
      </c>
      <c r="I229" s="16" t="s">
        <v>348</v>
      </c>
      <c r="J229" s="16" t="s">
        <v>348</v>
      </c>
      <c r="K229" s="16" t="s">
        <v>348</v>
      </c>
      <c r="L229" s="16" t="s">
        <v>348</v>
      </c>
      <c r="M229" s="16" t="s">
        <v>348</v>
      </c>
      <c r="N229" s="16" t="s">
        <v>348</v>
      </c>
      <c r="O229" s="16" t="s">
        <v>348</v>
      </c>
      <c r="P229" s="16" t="s">
        <v>348</v>
      </c>
    </row>
    <row r="230" spans="1:16">
      <c r="A230" s="16" t="s">
        <v>344</v>
      </c>
      <c r="B230" s="17" t="s">
        <v>345</v>
      </c>
      <c r="C230" s="16" t="s">
        <v>798</v>
      </c>
      <c r="D230" s="17" t="s">
        <v>799</v>
      </c>
      <c r="E230" s="16">
        <v>4.7806121153388448</v>
      </c>
      <c r="F230" s="16">
        <v>5.71838688655843</v>
      </c>
      <c r="G230" s="16">
        <v>9.9610307425640787</v>
      </c>
      <c r="H230" s="16" t="s">
        <v>348</v>
      </c>
      <c r="I230" s="16" t="s">
        <v>348</v>
      </c>
      <c r="J230" s="16" t="s">
        <v>348</v>
      </c>
      <c r="K230" s="16" t="s">
        <v>348</v>
      </c>
      <c r="L230" s="16" t="s">
        <v>348</v>
      </c>
      <c r="M230" s="16" t="s">
        <v>348</v>
      </c>
      <c r="N230" s="16" t="s">
        <v>348</v>
      </c>
      <c r="O230" s="16" t="s">
        <v>348</v>
      </c>
      <c r="P230" s="16" t="s">
        <v>348</v>
      </c>
    </row>
    <row r="231" spans="1:16">
      <c r="A231" s="16" t="s">
        <v>344</v>
      </c>
      <c r="B231" s="17" t="s">
        <v>345</v>
      </c>
      <c r="C231" s="16" t="s">
        <v>800</v>
      </c>
      <c r="D231" s="17" t="s">
        <v>801</v>
      </c>
      <c r="E231" s="16">
        <v>5.0025396862845373</v>
      </c>
      <c r="F231" s="16">
        <v>5.5512326307898103</v>
      </c>
      <c r="G231" s="16">
        <v>8.9559386649684125</v>
      </c>
      <c r="H231" s="16" t="s">
        <v>348</v>
      </c>
      <c r="I231" s="16" t="s">
        <v>348</v>
      </c>
      <c r="J231" s="16" t="s">
        <v>348</v>
      </c>
      <c r="K231" s="16" t="s">
        <v>348</v>
      </c>
      <c r="L231" s="16" t="s">
        <v>348</v>
      </c>
      <c r="M231" s="16" t="s">
        <v>348</v>
      </c>
      <c r="N231" s="16" t="s">
        <v>348</v>
      </c>
      <c r="O231" s="16" t="s">
        <v>348</v>
      </c>
      <c r="P231" s="16" t="s">
        <v>348</v>
      </c>
    </row>
    <row r="232" spans="1:16">
      <c r="A232" s="16" t="s">
        <v>344</v>
      </c>
      <c r="B232" s="17" t="s">
        <v>345</v>
      </c>
      <c r="C232" s="16" t="s">
        <v>802</v>
      </c>
      <c r="D232" s="17" t="s">
        <v>803</v>
      </c>
      <c r="E232" s="16">
        <v>9.7592167994986294</v>
      </c>
      <c r="F232" s="16">
        <v>11.704820899300261</v>
      </c>
      <c r="G232" s="16">
        <v>14.840064412038229</v>
      </c>
      <c r="H232" s="16">
        <v>14.97532437152144</v>
      </c>
      <c r="I232" s="16" t="s">
        <v>348</v>
      </c>
      <c r="J232" s="16" t="s">
        <v>348</v>
      </c>
      <c r="K232" s="16" t="s">
        <v>348</v>
      </c>
      <c r="L232" s="16" t="s">
        <v>348</v>
      </c>
      <c r="M232" s="16" t="s">
        <v>348</v>
      </c>
      <c r="N232" s="16" t="s">
        <v>348</v>
      </c>
      <c r="O232" s="16" t="s">
        <v>348</v>
      </c>
      <c r="P232" s="16" t="s">
        <v>348</v>
      </c>
    </row>
    <row r="233" spans="1:16">
      <c r="A233" s="16" t="s">
        <v>344</v>
      </c>
      <c r="B233" s="17" t="s">
        <v>345</v>
      </c>
      <c r="C233" s="16" t="s">
        <v>804</v>
      </c>
      <c r="D233" s="17" t="s">
        <v>805</v>
      </c>
      <c r="E233" s="16">
        <v>5.1572193047749861</v>
      </c>
      <c r="F233" s="16">
        <v>5.188358124363182</v>
      </c>
      <c r="G233" s="16">
        <v>7.6717193802213304</v>
      </c>
      <c r="H233" s="16" t="s">
        <v>348</v>
      </c>
      <c r="I233" s="16" t="s">
        <v>348</v>
      </c>
      <c r="J233" s="16" t="s">
        <v>348</v>
      </c>
      <c r="K233" s="16" t="s">
        <v>348</v>
      </c>
      <c r="L233" s="16" t="s">
        <v>348</v>
      </c>
      <c r="M233" s="16" t="s">
        <v>348</v>
      </c>
      <c r="N233" s="16" t="s">
        <v>348</v>
      </c>
      <c r="O233" s="16" t="s">
        <v>348</v>
      </c>
      <c r="P233" s="16" t="s">
        <v>348</v>
      </c>
    </row>
    <row r="234" spans="1:16">
      <c r="A234" s="16" t="s">
        <v>344</v>
      </c>
      <c r="B234" s="17" t="s">
        <v>345</v>
      </c>
      <c r="C234" s="16" t="s">
        <v>806</v>
      </c>
      <c r="D234" s="17" t="s">
        <v>807</v>
      </c>
      <c r="E234" s="16" t="s">
        <v>348</v>
      </c>
      <c r="F234" s="16">
        <v>5.9932957329799201</v>
      </c>
      <c r="G234" s="16" t="s">
        <v>348</v>
      </c>
      <c r="H234" s="16" t="s">
        <v>348</v>
      </c>
      <c r="I234" s="16" t="s">
        <v>348</v>
      </c>
      <c r="J234" s="16" t="s">
        <v>348</v>
      </c>
      <c r="K234" s="16" t="s">
        <v>348</v>
      </c>
      <c r="L234" s="16" t="s">
        <v>348</v>
      </c>
      <c r="M234" s="16" t="s">
        <v>348</v>
      </c>
      <c r="N234" s="16" t="s">
        <v>348</v>
      </c>
      <c r="O234" s="16" t="s">
        <v>348</v>
      </c>
      <c r="P234" s="16" t="s">
        <v>348</v>
      </c>
    </row>
    <row r="235" spans="1:16">
      <c r="A235" s="16" t="s">
        <v>344</v>
      </c>
      <c r="B235" s="17" t="s">
        <v>345</v>
      </c>
      <c r="C235" s="16" t="s">
        <v>808</v>
      </c>
      <c r="D235" s="17" t="s">
        <v>809</v>
      </c>
      <c r="E235" s="16">
        <v>7.4199850747604907</v>
      </c>
      <c r="F235" s="16">
        <v>8.3999265308941311</v>
      </c>
      <c r="G235" s="16">
        <v>10.642322852203099</v>
      </c>
      <c r="H235" s="16">
        <v>11.525171948106539</v>
      </c>
      <c r="I235" s="16" t="s">
        <v>348</v>
      </c>
      <c r="J235" s="16" t="s">
        <v>348</v>
      </c>
      <c r="K235" s="16" t="s">
        <v>348</v>
      </c>
      <c r="L235" s="16" t="s">
        <v>348</v>
      </c>
      <c r="M235" s="16" t="s">
        <v>348</v>
      </c>
      <c r="N235" s="16" t="s">
        <v>348</v>
      </c>
      <c r="O235" s="16" t="s">
        <v>348</v>
      </c>
      <c r="P235" s="16" t="s">
        <v>348</v>
      </c>
    </row>
    <row r="236" spans="1:16">
      <c r="A236" s="16" t="s">
        <v>344</v>
      </c>
      <c r="B236" s="17" t="s">
        <v>345</v>
      </c>
      <c r="C236" s="16" t="s">
        <v>810</v>
      </c>
      <c r="D236" s="17" t="s">
        <v>811</v>
      </c>
      <c r="E236" s="16">
        <v>5.8208966738739569</v>
      </c>
      <c r="F236" s="16">
        <v>7.111240883760332</v>
      </c>
      <c r="G236" s="16">
        <v>8.4549739168364209</v>
      </c>
      <c r="H236" s="16" t="s">
        <v>348</v>
      </c>
      <c r="I236" s="16" t="s">
        <v>348</v>
      </c>
      <c r="J236" s="16" t="s">
        <v>348</v>
      </c>
      <c r="K236" s="16" t="s">
        <v>348</v>
      </c>
      <c r="L236" s="16" t="s">
        <v>348</v>
      </c>
      <c r="M236" s="16" t="s">
        <v>348</v>
      </c>
      <c r="N236" s="16" t="s">
        <v>348</v>
      </c>
      <c r="O236" s="16" t="s">
        <v>348</v>
      </c>
      <c r="P236" s="16" t="s">
        <v>348</v>
      </c>
    </row>
    <row r="237" spans="1:16">
      <c r="A237" s="16" t="s">
        <v>344</v>
      </c>
      <c r="B237" s="17" t="s">
        <v>345</v>
      </c>
      <c r="C237" s="16" t="s">
        <v>812</v>
      </c>
      <c r="D237" s="17" t="s">
        <v>813</v>
      </c>
      <c r="E237" s="16">
        <v>5.8503421863947764</v>
      </c>
      <c r="F237" s="16">
        <v>7.0512608789721778</v>
      </c>
      <c r="G237" s="16">
        <v>8.5486992956454557</v>
      </c>
      <c r="H237" s="16" t="s">
        <v>348</v>
      </c>
      <c r="I237" s="16" t="s">
        <v>348</v>
      </c>
      <c r="J237" s="16" t="s">
        <v>348</v>
      </c>
      <c r="K237" s="16" t="s">
        <v>348</v>
      </c>
      <c r="L237" s="16" t="s">
        <v>348</v>
      </c>
      <c r="M237" s="16" t="s">
        <v>348</v>
      </c>
      <c r="N237" s="16" t="s">
        <v>348</v>
      </c>
      <c r="O237" s="16" t="s">
        <v>348</v>
      </c>
      <c r="P237" s="16" t="s">
        <v>348</v>
      </c>
    </row>
    <row r="238" spans="1:16">
      <c r="A238" s="16" t="s">
        <v>344</v>
      </c>
      <c r="B238" s="17" t="s">
        <v>345</v>
      </c>
      <c r="C238" s="16" t="s">
        <v>814</v>
      </c>
      <c r="D238" s="17" t="s">
        <v>815</v>
      </c>
      <c r="E238" s="16">
        <v>5.696977246149852</v>
      </c>
      <c r="F238" s="16">
        <v>5.5862422442894966</v>
      </c>
      <c r="G238" s="16">
        <v>9.4579546588241996</v>
      </c>
      <c r="H238" s="16" t="s">
        <v>348</v>
      </c>
      <c r="I238" s="16" t="s">
        <v>348</v>
      </c>
      <c r="J238" s="16" t="s">
        <v>348</v>
      </c>
      <c r="K238" s="16" t="s">
        <v>348</v>
      </c>
      <c r="L238" s="16" t="s">
        <v>348</v>
      </c>
      <c r="M238" s="16" t="s">
        <v>348</v>
      </c>
      <c r="N238" s="16" t="s">
        <v>348</v>
      </c>
      <c r="O238" s="16" t="s">
        <v>348</v>
      </c>
      <c r="P238" s="16" t="s">
        <v>348</v>
      </c>
    </row>
    <row r="239" spans="1:16">
      <c r="A239" s="16" t="s">
        <v>344</v>
      </c>
      <c r="B239" s="17" t="s">
        <v>345</v>
      </c>
      <c r="C239" s="16" t="s">
        <v>816</v>
      </c>
      <c r="D239" s="17" t="s">
        <v>817</v>
      </c>
      <c r="E239" s="16">
        <v>6.780438309717959</v>
      </c>
      <c r="F239" s="16">
        <v>7.6207121449849033</v>
      </c>
      <c r="G239" s="16">
        <v>10.05914243865991</v>
      </c>
      <c r="H239" s="16" t="s">
        <v>348</v>
      </c>
      <c r="I239" s="16" t="s">
        <v>348</v>
      </c>
      <c r="J239" s="16" t="s">
        <v>348</v>
      </c>
      <c r="K239" s="16" t="s">
        <v>348</v>
      </c>
      <c r="L239" s="16" t="s">
        <v>348</v>
      </c>
      <c r="M239" s="16" t="s">
        <v>348</v>
      </c>
      <c r="N239" s="16" t="s">
        <v>348</v>
      </c>
      <c r="O239" s="16" t="s">
        <v>348</v>
      </c>
      <c r="P239" s="16" t="s">
        <v>348</v>
      </c>
    </row>
    <row r="240" spans="1:16">
      <c r="A240" s="16" t="s">
        <v>344</v>
      </c>
      <c r="B240" s="17" t="s">
        <v>345</v>
      </c>
      <c r="C240" s="16" t="s">
        <v>818</v>
      </c>
      <c r="D240" s="17" t="s">
        <v>819</v>
      </c>
      <c r="E240" s="16">
        <v>6.1777743322752281</v>
      </c>
      <c r="F240" s="16">
        <v>6.4879689887582854</v>
      </c>
      <c r="G240" s="16">
        <v>9.7713362766765997</v>
      </c>
      <c r="H240" s="16" t="s">
        <v>348</v>
      </c>
      <c r="I240" s="16" t="s">
        <v>348</v>
      </c>
      <c r="J240" s="16" t="s">
        <v>348</v>
      </c>
      <c r="K240" s="16" t="s">
        <v>348</v>
      </c>
      <c r="L240" s="16" t="s">
        <v>348</v>
      </c>
      <c r="M240" s="16" t="s">
        <v>348</v>
      </c>
      <c r="N240" s="16" t="s">
        <v>348</v>
      </c>
      <c r="O240" s="16" t="s">
        <v>348</v>
      </c>
      <c r="P240" s="16" t="s">
        <v>348</v>
      </c>
    </row>
    <row r="241" spans="1:16">
      <c r="A241" s="16" t="s">
        <v>344</v>
      </c>
      <c r="B241" s="17" t="s">
        <v>345</v>
      </c>
      <c r="C241" s="16" t="s">
        <v>820</v>
      </c>
      <c r="D241" s="17" t="s">
        <v>821</v>
      </c>
      <c r="E241" s="16">
        <v>4.926488229656635</v>
      </c>
      <c r="F241" s="16">
        <v>6.2723473867533146</v>
      </c>
      <c r="G241" s="16">
        <v>7.5495562476140172</v>
      </c>
      <c r="H241" s="16" t="s">
        <v>348</v>
      </c>
      <c r="I241" s="16" t="s">
        <v>348</v>
      </c>
      <c r="J241" s="16" t="s">
        <v>348</v>
      </c>
      <c r="K241" s="16" t="s">
        <v>348</v>
      </c>
      <c r="L241" s="16" t="s">
        <v>348</v>
      </c>
      <c r="M241" s="16" t="s">
        <v>348</v>
      </c>
      <c r="N241" s="16" t="s">
        <v>348</v>
      </c>
      <c r="O241" s="16" t="s">
        <v>348</v>
      </c>
      <c r="P241" s="16" t="s">
        <v>348</v>
      </c>
    </row>
    <row r="242" spans="1:16">
      <c r="A242" s="16" t="s">
        <v>344</v>
      </c>
      <c r="B242" s="17" t="s">
        <v>345</v>
      </c>
      <c r="C242" s="16" t="s">
        <v>822</v>
      </c>
      <c r="D242" s="17" t="s">
        <v>823</v>
      </c>
      <c r="E242" s="16">
        <v>12.49839424703752</v>
      </c>
      <c r="F242" s="16">
        <v>13.099984707759109</v>
      </c>
      <c r="G242" s="16">
        <v>13.6570671491339</v>
      </c>
      <c r="H242" s="16" t="s">
        <v>348</v>
      </c>
      <c r="I242" s="16" t="s">
        <v>348</v>
      </c>
      <c r="J242" s="16" t="s">
        <v>348</v>
      </c>
      <c r="K242" s="16" t="s">
        <v>348</v>
      </c>
      <c r="L242" s="16" t="s">
        <v>348</v>
      </c>
      <c r="M242" s="16" t="s">
        <v>348</v>
      </c>
      <c r="N242" s="16" t="s">
        <v>348</v>
      </c>
      <c r="O242" s="16" t="s">
        <v>348</v>
      </c>
      <c r="P242" s="16" t="s">
        <v>348</v>
      </c>
    </row>
    <row r="243" spans="1:16">
      <c r="A243" s="16" t="s">
        <v>344</v>
      </c>
      <c r="B243" s="17" t="s">
        <v>345</v>
      </c>
      <c r="C243" s="16" t="s">
        <v>824</v>
      </c>
      <c r="D243" s="17" t="s">
        <v>825</v>
      </c>
      <c r="E243" s="16">
        <v>12.658436243101001</v>
      </c>
      <c r="F243" s="16">
        <v>13.41213008344954</v>
      </c>
      <c r="G243" s="16">
        <v>13.866256467200049</v>
      </c>
      <c r="H243" s="16" t="s">
        <v>348</v>
      </c>
      <c r="I243" s="16" t="s">
        <v>348</v>
      </c>
      <c r="J243" s="16" t="s">
        <v>348</v>
      </c>
      <c r="K243" s="16" t="s">
        <v>348</v>
      </c>
      <c r="L243" s="16" t="s">
        <v>348</v>
      </c>
      <c r="M243" s="16" t="s">
        <v>348</v>
      </c>
      <c r="N243" s="16" t="s">
        <v>348</v>
      </c>
      <c r="O243" s="16" t="s">
        <v>348</v>
      </c>
      <c r="P243" s="16" t="s">
        <v>348</v>
      </c>
    </row>
    <row r="244" spans="1:16">
      <c r="A244" s="16" t="s">
        <v>344</v>
      </c>
      <c r="B244" s="17" t="s">
        <v>345</v>
      </c>
      <c r="C244" s="16" t="s">
        <v>826</v>
      </c>
      <c r="D244" s="17" t="s">
        <v>827</v>
      </c>
      <c r="E244" s="16">
        <v>12.495762737048</v>
      </c>
      <c r="F244" s="16">
        <v>13.143468475504751</v>
      </c>
      <c r="G244" s="16">
        <v>13.6855843224411</v>
      </c>
      <c r="H244" s="16" t="s">
        <v>348</v>
      </c>
      <c r="I244" s="16" t="s">
        <v>348</v>
      </c>
      <c r="J244" s="16" t="s">
        <v>348</v>
      </c>
      <c r="K244" s="16" t="s">
        <v>348</v>
      </c>
      <c r="L244" s="16" t="s">
        <v>348</v>
      </c>
      <c r="M244" s="16" t="s">
        <v>348</v>
      </c>
      <c r="N244" s="16" t="s">
        <v>348</v>
      </c>
      <c r="O244" s="16" t="s">
        <v>348</v>
      </c>
      <c r="P244" s="16" t="s">
        <v>348</v>
      </c>
    </row>
    <row r="245" spans="1:16">
      <c r="A245" s="16" t="s">
        <v>344</v>
      </c>
      <c r="B245" s="17" t="s">
        <v>345</v>
      </c>
      <c r="C245" s="16" t="s">
        <v>828</v>
      </c>
      <c r="D245" s="17" t="s">
        <v>829</v>
      </c>
      <c r="E245" s="16">
        <v>6.6593232146329946</v>
      </c>
      <c r="F245" s="16">
        <v>7.0258225543651864</v>
      </c>
      <c r="G245" s="16">
        <v>9.7918669269548957</v>
      </c>
      <c r="H245" s="16" t="s">
        <v>348</v>
      </c>
      <c r="I245" s="16" t="s">
        <v>348</v>
      </c>
      <c r="J245" s="16" t="s">
        <v>348</v>
      </c>
      <c r="K245" s="16" t="s">
        <v>348</v>
      </c>
      <c r="L245" s="16" t="s">
        <v>348</v>
      </c>
      <c r="M245" s="16" t="s">
        <v>348</v>
      </c>
      <c r="N245" s="16" t="s">
        <v>348</v>
      </c>
      <c r="O245" s="16" t="s">
        <v>348</v>
      </c>
      <c r="P245" s="16" t="s">
        <v>348</v>
      </c>
    </row>
    <row r="246" spans="1:16">
      <c r="A246" s="16" t="s">
        <v>344</v>
      </c>
      <c r="B246" s="17" t="s">
        <v>345</v>
      </c>
      <c r="C246" s="16" t="s">
        <v>830</v>
      </c>
      <c r="D246" s="17" t="s">
        <v>831</v>
      </c>
      <c r="E246" s="16">
        <v>6.090922020663756</v>
      </c>
      <c r="F246" s="16">
        <v>7.3640258527489442</v>
      </c>
      <c r="G246" s="16">
        <v>8.5286954569725655</v>
      </c>
      <c r="H246" s="16" t="s">
        <v>348</v>
      </c>
      <c r="I246" s="16" t="s">
        <v>348</v>
      </c>
      <c r="J246" s="16" t="s">
        <v>348</v>
      </c>
      <c r="K246" s="16" t="s">
        <v>348</v>
      </c>
      <c r="L246" s="16" t="s">
        <v>348</v>
      </c>
      <c r="M246" s="16" t="s">
        <v>348</v>
      </c>
      <c r="N246" s="16" t="s">
        <v>348</v>
      </c>
      <c r="O246" s="16" t="s">
        <v>348</v>
      </c>
      <c r="P246" s="16" t="s">
        <v>348</v>
      </c>
    </row>
    <row r="247" spans="1:16">
      <c r="A247" s="16" t="s">
        <v>344</v>
      </c>
      <c r="B247" s="17" t="s">
        <v>345</v>
      </c>
      <c r="C247" s="16" t="s">
        <v>832</v>
      </c>
      <c r="D247" s="17" t="s">
        <v>833</v>
      </c>
      <c r="E247" s="16" t="s">
        <v>348</v>
      </c>
      <c r="F247" s="16" t="s">
        <v>348</v>
      </c>
      <c r="G247" s="16" t="s">
        <v>348</v>
      </c>
      <c r="H247" s="16" t="s">
        <v>348</v>
      </c>
      <c r="I247" s="16" t="s">
        <v>348</v>
      </c>
      <c r="J247" s="16" t="s">
        <v>348</v>
      </c>
      <c r="K247" s="16" t="s">
        <v>348</v>
      </c>
      <c r="L247" s="16" t="s">
        <v>348</v>
      </c>
      <c r="M247" s="16" t="s">
        <v>348</v>
      </c>
      <c r="N247" s="16" t="s">
        <v>348</v>
      </c>
      <c r="O247" s="16" t="s">
        <v>348</v>
      </c>
      <c r="P247" s="16" t="s">
        <v>348</v>
      </c>
    </row>
    <row r="248" spans="1:16">
      <c r="A248" s="16" t="s">
        <v>344</v>
      </c>
      <c r="B248" s="17" t="s">
        <v>345</v>
      </c>
      <c r="C248" s="16" t="s">
        <v>834</v>
      </c>
      <c r="D248" s="17" t="s">
        <v>835</v>
      </c>
      <c r="E248" s="16">
        <v>7.2303792300898131</v>
      </c>
      <c r="F248" s="16">
        <v>8.1471136166306835</v>
      </c>
      <c r="G248" s="16">
        <v>10.9036556783074</v>
      </c>
      <c r="H248" s="16" t="s">
        <v>348</v>
      </c>
      <c r="I248" s="16" t="s">
        <v>348</v>
      </c>
      <c r="J248" s="16" t="s">
        <v>348</v>
      </c>
      <c r="K248" s="16" t="s">
        <v>348</v>
      </c>
      <c r="L248" s="16" t="s">
        <v>348</v>
      </c>
      <c r="M248" s="16" t="s">
        <v>348</v>
      </c>
      <c r="N248" s="16" t="s">
        <v>348</v>
      </c>
      <c r="O248" s="16" t="s">
        <v>348</v>
      </c>
      <c r="P248" s="16" t="s">
        <v>348</v>
      </c>
    </row>
    <row r="249" spans="1:16">
      <c r="A249" s="16" t="s">
        <v>344</v>
      </c>
      <c r="B249" s="17" t="s">
        <v>345</v>
      </c>
      <c r="C249" s="16" t="s">
        <v>836</v>
      </c>
      <c r="D249" s="17" t="s">
        <v>837</v>
      </c>
      <c r="E249" s="16">
        <v>10.022133941069439</v>
      </c>
      <c r="F249" s="16">
        <v>9.2958222176121588</v>
      </c>
      <c r="G249" s="16">
        <v>8.2067182797645621</v>
      </c>
      <c r="H249" s="16" t="s">
        <v>348</v>
      </c>
      <c r="I249" s="16" t="s">
        <v>348</v>
      </c>
      <c r="J249" s="16" t="s">
        <v>348</v>
      </c>
      <c r="K249" s="16" t="s">
        <v>348</v>
      </c>
      <c r="L249" s="16" t="s">
        <v>348</v>
      </c>
      <c r="M249" s="16" t="s">
        <v>348</v>
      </c>
      <c r="N249" s="16" t="s">
        <v>348</v>
      </c>
      <c r="O249" s="16" t="s">
        <v>348</v>
      </c>
      <c r="P249" s="16" t="s">
        <v>348</v>
      </c>
    </row>
    <row r="250" spans="1:16">
      <c r="A250" s="16" t="s">
        <v>344</v>
      </c>
      <c r="B250" s="17" t="s">
        <v>345</v>
      </c>
      <c r="C250" s="16" t="s">
        <v>838</v>
      </c>
      <c r="D250" s="17" t="s">
        <v>839</v>
      </c>
      <c r="E250" s="16">
        <v>10.07974075393256</v>
      </c>
      <c r="F250" s="16">
        <v>9.6913864698661847</v>
      </c>
      <c r="G250" s="16">
        <v>8.8836555093303069</v>
      </c>
      <c r="H250" s="16" t="s">
        <v>348</v>
      </c>
      <c r="I250" s="16" t="s">
        <v>348</v>
      </c>
      <c r="J250" s="16" t="s">
        <v>348</v>
      </c>
      <c r="K250" s="16" t="s">
        <v>348</v>
      </c>
      <c r="L250" s="16" t="s">
        <v>348</v>
      </c>
      <c r="M250" s="16" t="s">
        <v>348</v>
      </c>
      <c r="N250" s="16" t="s">
        <v>348</v>
      </c>
      <c r="O250" s="16" t="s">
        <v>348</v>
      </c>
      <c r="P250" s="16" t="s">
        <v>348</v>
      </c>
    </row>
    <row r="251" spans="1:16">
      <c r="A251" s="16" t="s">
        <v>344</v>
      </c>
      <c r="B251" s="17" t="s">
        <v>345</v>
      </c>
      <c r="C251" s="16" t="s">
        <v>840</v>
      </c>
      <c r="D251" s="17" t="s">
        <v>841</v>
      </c>
      <c r="E251" s="16">
        <v>10.07974075393256</v>
      </c>
      <c r="F251" s="16">
        <v>9.6913864698661865</v>
      </c>
      <c r="G251" s="16">
        <v>8.8836555093303069</v>
      </c>
      <c r="H251" s="16" t="s">
        <v>348</v>
      </c>
      <c r="I251" s="16" t="s">
        <v>348</v>
      </c>
      <c r="J251" s="16" t="s">
        <v>348</v>
      </c>
      <c r="K251" s="16" t="s">
        <v>348</v>
      </c>
      <c r="L251" s="16" t="s">
        <v>348</v>
      </c>
      <c r="M251" s="16" t="s">
        <v>348</v>
      </c>
      <c r="N251" s="16" t="s">
        <v>348</v>
      </c>
      <c r="O251" s="16" t="s">
        <v>348</v>
      </c>
      <c r="P251" s="16" t="s">
        <v>348</v>
      </c>
    </row>
    <row r="252" spans="1:16">
      <c r="A252" s="16" t="s">
        <v>344</v>
      </c>
      <c r="B252" s="17" t="s">
        <v>345</v>
      </c>
      <c r="C252" s="16" t="s">
        <v>842</v>
      </c>
      <c r="D252" s="17" t="s">
        <v>843</v>
      </c>
      <c r="E252" s="16">
        <v>6.1279034444819764</v>
      </c>
      <c r="F252" s="16">
        <v>7.4333757951203632</v>
      </c>
      <c r="G252" s="16">
        <v>8.5891118810627081</v>
      </c>
      <c r="H252" s="16" t="s">
        <v>348</v>
      </c>
      <c r="I252" s="16" t="s">
        <v>348</v>
      </c>
      <c r="J252" s="16" t="s">
        <v>348</v>
      </c>
      <c r="K252" s="16" t="s">
        <v>348</v>
      </c>
      <c r="L252" s="16" t="s">
        <v>348</v>
      </c>
      <c r="M252" s="16" t="s">
        <v>348</v>
      </c>
      <c r="N252" s="16" t="s">
        <v>348</v>
      </c>
      <c r="O252" s="16" t="s">
        <v>348</v>
      </c>
      <c r="P252" s="16" t="s">
        <v>348</v>
      </c>
    </row>
    <row r="253" spans="1:16">
      <c r="A253" s="16" t="s">
        <v>344</v>
      </c>
      <c r="B253" s="17" t="s">
        <v>345</v>
      </c>
      <c r="C253" s="16" t="s">
        <v>844</v>
      </c>
      <c r="D253" s="17" t="s">
        <v>845</v>
      </c>
      <c r="E253" s="16">
        <v>5.7361154467430957</v>
      </c>
      <c r="F253" s="16">
        <v>6.7324379002458192</v>
      </c>
      <c r="G253" s="16">
        <v>8.8501609260990985</v>
      </c>
      <c r="H253" s="16">
        <v>9.2456897479063436</v>
      </c>
      <c r="I253" s="16" t="s">
        <v>348</v>
      </c>
      <c r="J253" s="16" t="s">
        <v>348</v>
      </c>
      <c r="K253" s="16" t="s">
        <v>348</v>
      </c>
      <c r="L253" s="16" t="s">
        <v>348</v>
      </c>
      <c r="M253" s="16" t="s">
        <v>348</v>
      </c>
      <c r="N253" s="16" t="s">
        <v>348</v>
      </c>
      <c r="O253" s="16" t="s">
        <v>348</v>
      </c>
      <c r="P253" s="16" t="s">
        <v>348</v>
      </c>
    </row>
    <row r="254" spans="1:16">
      <c r="A254" s="16" t="s">
        <v>344</v>
      </c>
      <c r="B254" s="17" t="s">
        <v>345</v>
      </c>
      <c r="C254" s="16" t="s">
        <v>846</v>
      </c>
      <c r="D254" s="17" t="s">
        <v>847</v>
      </c>
      <c r="E254" s="16" t="s">
        <v>348</v>
      </c>
      <c r="F254" s="16" t="s">
        <v>348</v>
      </c>
      <c r="G254" s="16" t="s">
        <v>348</v>
      </c>
      <c r="H254" s="16" t="s">
        <v>348</v>
      </c>
      <c r="I254" s="16" t="s">
        <v>348</v>
      </c>
      <c r="J254" s="16" t="s">
        <v>348</v>
      </c>
      <c r="K254" s="16" t="s">
        <v>348</v>
      </c>
      <c r="L254" s="16" t="s">
        <v>348</v>
      </c>
      <c r="M254" s="16" t="s">
        <v>348</v>
      </c>
      <c r="N254" s="16" t="s">
        <v>348</v>
      </c>
      <c r="O254" s="16" t="s">
        <v>348</v>
      </c>
      <c r="P254" s="16" t="s">
        <v>348</v>
      </c>
    </row>
    <row r="255" spans="1:16">
      <c r="A255" s="16" t="s">
        <v>344</v>
      </c>
      <c r="B255" s="17" t="s">
        <v>345</v>
      </c>
      <c r="C255" s="16" t="s">
        <v>848</v>
      </c>
      <c r="D255" s="17" t="s">
        <v>849</v>
      </c>
      <c r="E255" s="16">
        <v>8.0053487867263335</v>
      </c>
      <c r="F255" s="16">
        <v>9.0125263632371748</v>
      </c>
      <c r="G255" s="16">
        <v>11.48692139951822</v>
      </c>
      <c r="H255" s="16">
        <v>11.70543749323525</v>
      </c>
      <c r="I255" s="16" t="s">
        <v>348</v>
      </c>
      <c r="J255" s="16" t="s">
        <v>348</v>
      </c>
      <c r="K255" s="16" t="s">
        <v>348</v>
      </c>
      <c r="L255" s="16" t="s">
        <v>348</v>
      </c>
      <c r="M255" s="16" t="s">
        <v>348</v>
      </c>
      <c r="N255" s="16" t="s">
        <v>348</v>
      </c>
      <c r="O255" s="16" t="s">
        <v>348</v>
      </c>
      <c r="P255" s="16" t="s">
        <v>348</v>
      </c>
    </row>
    <row r="256" spans="1:16">
      <c r="A256" s="16" t="s">
        <v>344</v>
      </c>
      <c r="B256" s="17" t="s">
        <v>345</v>
      </c>
      <c r="C256" s="16" t="s">
        <v>850</v>
      </c>
      <c r="D256" s="17" t="s">
        <v>851</v>
      </c>
      <c r="E256" s="16">
        <v>6.1381092567727631</v>
      </c>
      <c r="F256" s="16" t="s">
        <v>348</v>
      </c>
      <c r="G256" s="16" t="s">
        <v>348</v>
      </c>
      <c r="H256" s="16" t="s">
        <v>348</v>
      </c>
      <c r="I256" s="16" t="s">
        <v>348</v>
      </c>
      <c r="J256" s="16" t="s">
        <v>348</v>
      </c>
      <c r="K256" s="16" t="s">
        <v>348</v>
      </c>
      <c r="L256" s="16" t="s">
        <v>348</v>
      </c>
      <c r="M256" s="16" t="s">
        <v>348</v>
      </c>
      <c r="N256" s="16" t="s">
        <v>348</v>
      </c>
      <c r="O256" s="16" t="s">
        <v>348</v>
      </c>
      <c r="P256" s="16" t="s">
        <v>348</v>
      </c>
    </row>
    <row r="257" spans="1:16">
      <c r="A257" s="16" t="s">
        <v>344</v>
      </c>
      <c r="B257" s="17" t="s">
        <v>345</v>
      </c>
      <c r="C257" s="16" t="s">
        <v>852</v>
      </c>
      <c r="D257" s="17" t="s">
        <v>853</v>
      </c>
      <c r="E257" s="16">
        <v>17.75561904632854</v>
      </c>
      <c r="F257" s="16" t="s">
        <v>348</v>
      </c>
      <c r="G257" s="16" t="s">
        <v>348</v>
      </c>
      <c r="H257" s="16" t="s">
        <v>348</v>
      </c>
      <c r="I257" s="16" t="s">
        <v>348</v>
      </c>
      <c r="J257" s="16" t="s">
        <v>348</v>
      </c>
      <c r="K257" s="16" t="s">
        <v>348</v>
      </c>
      <c r="L257" s="16" t="s">
        <v>348</v>
      </c>
      <c r="M257" s="16" t="s">
        <v>348</v>
      </c>
      <c r="N257" s="16" t="s">
        <v>348</v>
      </c>
      <c r="O257" s="16" t="s">
        <v>348</v>
      </c>
      <c r="P257" s="16" t="s">
        <v>348</v>
      </c>
    </row>
    <row r="258" spans="1:16">
      <c r="A258" s="16" t="s">
        <v>344</v>
      </c>
      <c r="B258" s="17" t="s">
        <v>345</v>
      </c>
      <c r="C258" s="16" t="s">
        <v>854</v>
      </c>
      <c r="D258" s="17" t="s">
        <v>855</v>
      </c>
      <c r="E258" s="16">
        <v>7.6883615429262768</v>
      </c>
      <c r="F258" s="16">
        <v>8.6710268440599307</v>
      </c>
      <c r="G258" s="16">
        <v>11.159902963656521</v>
      </c>
      <c r="H258" s="16">
        <v>11.43406352103205</v>
      </c>
      <c r="I258" s="16" t="s">
        <v>348</v>
      </c>
      <c r="J258" s="16" t="s">
        <v>348</v>
      </c>
      <c r="K258" s="16" t="s">
        <v>348</v>
      </c>
      <c r="L258" s="16" t="s">
        <v>348</v>
      </c>
      <c r="M258" s="16" t="s">
        <v>348</v>
      </c>
      <c r="N258" s="16" t="s">
        <v>348</v>
      </c>
      <c r="O258" s="16" t="s">
        <v>348</v>
      </c>
      <c r="P258" s="16" t="s">
        <v>348</v>
      </c>
    </row>
    <row r="259" spans="1:16">
      <c r="A259" s="16" t="s">
        <v>344</v>
      </c>
      <c r="B259" s="17" t="s">
        <v>345</v>
      </c>
      <c r="C259" s="16" t="s">
        <v>856</v>
      </c>
      <c r="D259" s="17" t="s">
        <v>857</v>
      </c>
      <c r="E259" s="16">
        <v>6.9786839502663272</v>
      </c>
      <c r="F259" s="16">
        <v>6.8917777416829544</v>
      </c>
      <c r="G259" s="16">
        <v>8.5988442197520385</v>
      </c>
      <c r="H259" s="16" t="s">
        <v>348</v>
      </c>
      <c r="I259" s="16" t="s">
        <v>348</v>
      </c>
      <c r="J259" s="16" t="s">
        <v>348</v>
      </c>
      <c r="K259" s="16" t="s">
        <v>348</v>
      </c>
      <c r="L259" s="16" t="s">
        <v>348</v>
      </c>
      <c r="M259" s="16" t="s">
        <v>348</v>
      </c>
      <c r="N259" s="16" t="s">
        <v>348</v>
      </c>
      <c r="O259" s="16" t="s">
        <v>348</v>
      </c>
      <c r="P259" s="16" t="s">
        <v>348</v>
      </c>
    </row>
    <row r="260" spans="1:16">
      <c r="A260" s="16" t="s">
        <v>344</v>
      </c>
      <c r="B260" s="17" t="s">
        <v>345</v>
      </c>
      <c r="C260" s="16" t="s">
        <v>858</v>
      </c>
      <c r="D260" s="17" t="s">
        <v>859</v>
      </c>
      <c r="E260" s="16">
        <v>6.9914371502061829</v>
      </c>
      <c r="F260" s="16" t="s">
        <v>348</v>
      </c>
      <c r="G260" s="16" t="s">
        <v>348</v>
      </c>
      <c r="H260" s="16" t="s">
        <v>348</v>
      </c>
      <c r="I260" s="16" t="s">
        <v>348</v>
      </c>
      <c r="J260" s="16" t="s">
        <v>348</v>
      </c>
      <c r="K260" s="16" t="s">
        <v>348</v>
      </c>
      <c r="L260" s="16" t="s">
        <v>348</v>
      </c>
      <c r="M260" s="16" t="s">
        <v>348</v>
      </c>
      <c r="N260" s="16" t="s">
        <v>348</v>
      </c>
      <c r="O260" s="16" t="s">
        <v>348</v>
      </c>
      <c r="P260" s="16" t="s">
        <v>348</v>
      </c>
    </row>
    <row r="261" spans="1:16">
      <c r="A261" s="16" t="s">
        <v>344</v>
      </c>
      <c r="B261" s="17" t="s">
        <v>345</v>
      </c>
      <c r="C261" s="16" t="s">
        <v>860</v>
      </c>
      <c r="D261" s="17" t="s">
        <v>861</v>
      </c>
      <c r="E261" s="16">
        <v>7.0347506153029613</v>
      </c>
      <c r="F261" s="16">
        <v>8.1024371082373108</v>
      </c>
      <c r="G261" s="16">
        <v>10.402649502478139</v>
      </c>
      <c r="H261" s="16" t="s">
        <v>348</v>
      </c>
      <c r="I261" s="16" t="s">
        <v>348</v>
      </c>
      <c r="J261" s="16" t="s">
        <v>348</v>
      </c>
      <c r="K261" s="16" t="s">
        <v>348</v>
      </c>
      <c r="L261" s="16" t="s">
        <v>348</v>
      </c>
      <c r="M261" s="16" t="s">
        <v>348</v>
      </c>
      <c r="N261" s="16" t="s">
        <v>348</v>
      </c>
      <c r="O261" s="16" t="s">
        <v>348</v>
      </c>
      <c r="P261" s="16" t="s">
        <v>348</v>
      </c>
    </row>
    <row r="262" spans="1:16">
      <c r="A262" s="16" t="s">
        <v>344</v>
      </c>
      <c r="B262" s="17" t="s">
        <v>345</v>
      </c>
      <c r="C262" s="16" t="s">
        <v>862</v>
      </c>
      <c r="D262" s="17" t="s">
        <v>863</v>
      </c>
      <c r="E262" s="16">
        <v>7.0347506153029604</v>
      </c>
      <c r="F262" s="16">
        <v>8.102437108237309</v>
      </c>
      <c r="G262" s="16">
        <v>10.402649502478139</v>
      </c>
      <c r="H262" s="16" t="s">
        <v>348</v>
      </c>
      <c r="I262" s="16" t="s">
        <v>348</v>
      </c>
      <c r="J262" s="16" t="s">
        <v>348</v>
      </c>
      <c r="K262" s="16" t="s">
        <v>348</v>
      </c>
      <c r="L262" s="16" t="s">
        <v>348</v>
      </c>
      <c r="M262" s="16" t="s">
        <v>348</v>
      </c>
      <c r="N262" s="16" t="s">
        <v>348</v>
      </c>
      <c r="O262" s="16" t="s">
        <v>348</v>
      </c>
      <c r="P262" s="16" t="s">
        <v>348</v>
      </c>
    </row>
    <row r="263" spans="1:16">
      <c r="A263" s="16" t="s">
        <v>344</v>
      </c>
      <c r="B263" s="17" t="s">
        <v>345</v>
      </c>
      <c r="C263" s="16" t="s">
        <v>864</v>
      </c>
      <c r="D263" s="17" t="s">
        <v>865</v>
      </c>
      <c r="E263" s="16">
        <v>5.6997712622615229</v>
      </c>
      <c r="F263" s="16">
        <v>5.5208160931043988</v>
      </c>
      <c r="G263" s="16">
        <v>7.3499574640432126</v>
      </c>
      <c r="H263" s="16" t="s">
        <v>348</v>
      </c>
      <c r="I263" s="16" t="s">
        <v>348</v>
      </c>
      <c r="J263" s="16" t="s">
        <v>348</v>
      </c>
      <c r="K263" s="16" t="s">
        <v>348</v>
      </c>
      <c r="L263" s="16" t="s">
        <v>348</v>
      </c>
      <c r="M263" s="16" t="s">
        <v>348</v>
      </c>
      <c r="N263" s="16" t="s">
        <v>348</v>
      </c>
      <c r="O263" s="16" t="s">
        <v>348</v>
      </c>
      <c r="P263" s="16" t="s">
        <v>348</v>
      </c>
    </row>
    <row r="264" spans="1:16">
      <c r="A264" s="16" t="s">
        <v>344</v>
      </c>
      <c r="B264" s="17" t="s">
        <v>345</v>
      </c>
      <c r="C264" s="16" t="s">
        <v>866</v>
      </c>
      <c r="D264" s="17" t="s">
        <v>867</v>
      </c>
      <c r="E264" s="16">
        <v>5.6966189354166374</v>
      </c>
      <c r="F264" s="16">
        <v>5.5208160931044006</v>
      </c>
      <c r="G264" s="16">
        <v>7.3499574640432126</v>
      </c>
      <c r="H264" s="16" t="s">
        <v>348</v>
      </c>
      <c r="I264" s="16" t="s">
        <v>348</v>
      </c>
      <c r="J264" s="16" t="s">
        <v>348</v>
      </c>
      <c r="K264" s="16" t="s">
        <v>348</v>
      </c>
      <c r="L264" s="16" t="s">
        <v>348</v>
      </c>
      <c r="M264" s="16" t="s">
        <v>348</v>
      </c>
      <c r="N264" s="16" t="s">
        <v>348</v>
      </c>
      <c r="O264" s="16" t="s">
        <v>348</v>
      </c>
      <c r="P264" s="16" t="s">
        <v>348</v>
      </c>
    </row>
    <row r="265" spans="1:16">
      <c r="A265" s="16" t="s">
        <v>344</v>
      </c>
      <c r="B265" s="17" t="s">
        <v>345</v>
      </c>
      <c r="C265" s="16" t="s">
        <v>868</v>
      </c>
      <c r="D265" s="17" t="s">
        <v>869</v>
      </c>
      <c r="E265" s="16">
        <v>5.6997712622615238</v>
      </c>
      <c r="F265" s="16">
        <v>5.5208160931043988</v>
      </c>
      <c r="G265" s="16">
        <v>7.3499574640432126</v>
      </c>
      <c r="H265" s="16" t="s">
        <v>348</v>
      </c>
      <c r="I265" s="16" t="s">
        <v>348</v>
      </c>
      <c r="J265" s="16" t="s">
        <v>348</v>
      </c>
      <c r="K265" s="16" t="s">
        <v>348</v>
      </c>
      <c r="L265" s="16" t="s">
        <v>348</v>
      </c>
      <c r="M265" s="16" t="s">
        <v>348</v>
      </c>
      <c r="N265" s="16" t="s">
        <v>348</v>
      </c>
      <c r="O265" s="16" t="s">
        <v>348</v>
      </c>
      <c r="P265" s="16" t="s">
        <v>348</v>
      </c>
    </row>
    <row r="266" spans="1:16">
      <c r="A266" s="16" t="s">
        <v>344</v>
      </c>
      <c r="B266" s="17" t="s">
        <v>345</v>
      </c>
      <c r="C266" s="16" t="s">
        <v>870</v>
      </c>
      <c r="D266" s="17" t="s">
        <v>871</v>
      </c>
      <c r="E266" s="16">
        <v>5.7785564349454503</v>
      </c>
      <c r="F266" s="16">
        <v>7.1723243496279707</v>
      </c>
      <c r="G266" s="16">
        <v>7.9414841718250777</v>
      </c>
      <c r="H266" s="16" t="s">
        <v>348</v>
      </c>
      <c r="I266" s="16" t="s">
        <v>348</v>
      </c>
      <c r="J266" s="16" t="s">
        <v>348</v>
      </c>
      <c r="K266" s="16" t="s">
        <v>348</v>
      </c>
      <c r="L266" s="16" t="s">
        <v>348</v>
      </c>
      <c r="M266" s="16" t="s">
        <v>348</v>
      </c>
      <c r="N266" s="16" t="s">
        <v>348</v>
      </c>
      <c r="O266" s="16" t="s">
        <v>348</v>
      </c>
      <c r="P266" s="16" t="s">
        <v>348</v>
      </c>
    </row>
    <row r="267" spans="1:16">
      <c r="A267" s="16" t="s">
        <v>344</v>
      </c>
      <c r="B267" s="17" t="s">
        <v>345</v>
      </c>
      <c r="C267" s="16" t="s">
        <v>872</v>
      </c>
      <c r="D267" s="17" t="s">
        <v>873</v>
      </c>
      <c r="E267" s="16">
        <v>6.966761367167547</v>
      </c>
      <c r="F267" s="16">
        <v>8.0195029254817385</v>
      </c>
      <c r="G267" s="16">
        <v>9.5576934587434241</v>
      </c>
      <c r="H267" s="16" t="s">
        <v>348</v>
      </c>
      <c r="I267" s="16" t="s">
        <v>348</v>
      </c>
      <c r="J267" s="16" t="s">
        <v>348</v>
      </c>
      <c r="K267" s="16" t="s">
        <v>348</v>
      </c>
      <c r="L267" s="16" t="s">
        <v>348</v>
      </c>
      <c r="M267" s="16" t="s">
        <v>348</v>
      </c>
      <c r="N267" s="16" t="s">
        <v>348</v>
      </c>
      <c r="O267" s="16" t="s">
        <v>348</v>
      </c>
      <c r="P267" s="16" t="s">
        <v>348</v>
      </c>
    </row>
    <row r="268" spans="1:16">
      <c r="B268" s="17"/>
      <c r="D268" s="17"/>
    </row>
    <row r="269" spans="1:16">
      <c r="B269" s="17"/>
      <c r="D269" s="17"/>
    </row>
    <row r="270" spans="1:16">
      <c r="B270" s="17"/>
      <c r="D270" s="17"/>
    </row>
    <row r="271" spans="1:16">
      <c r="A271" s="16" t="s">
        <v>874</v>
      </c>
      <c r="B271" s="17"/>
      <c r="D271" s="17"/>
    </row>
    <row r="272" spans="1:16">
      <c r="A272" s="16" t="s">
        <v>875</v>
      </c>
    </row>
  </sheetData>
  <pageMargins left="0.7" right="0.7" top="0.75" bottom="0.75" header="0.3" footer="0.3"/>
  <customProperties>
    <customPr name="LastActive"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N2"/>
  <sheetViews>
    <sheetView workbookViewId="0">
      <selection activeCell="E2" sqref="E2"/>
    </sheetView>
  </sheetViews>
  <sheetFormatPr defaultColWidth="9" defaultRowHeight="14.1"/>
  <cols>
    <col min="1" max="1" width="13.875" style="16" customWidth="1"/>
    <col min="2" max="14" width="44.5" style="16" customWidth="1"/>
    <col min="15" max="15" width="9" style="16" customWidth="1"/>
    <col min="16" max="16384" width="9" style="16"/>
  </cols>
  <sheetData>
    <row r="1" spans="1:14">
      <c r="A1" s="16" t="s">
        <v>876</v>
      </c>
      <c r="B1" s="16" t="s">
        <v>877</v>
      </c>
      <c r="C1" s="16" t="s">
        <v>878</v>
      </c>
      <c r="D1" s="16" t="s">
        <v>879</v>
      </c>
      <c r="E1" s="16" t="s">
        <v>5</v>
      </c>
      <c r="F1" s="16" t="s">
        <v>880</v>
      </c>
      <c r="G1" s="16" t="s">
        <v>881</v>
      </c>
      <c r="H1" s="16" t="s">
        <v>882</v>
      </c>
      <c r="I1" s="16" t="s">
        <v>883</v>
      </c>
      <c r="J1" s="16" t="s">
        <v>884</v>
      </c>
      <c r="K1" s="16" t="s">
        <v>885</v>
      </c>
      <c r="L1" s="16" t="s">
        <v>886</v>
      </c>
      <c r="M1" s="16" t="s">
        <v>887</v>
      </c>
      <c r="N1" s="16" t="s">
        <v>888</v>
      </c>
    </row>
    <row r="2" spans="1:14">
      <c r="A2" s="16" t="s">
        <v>345</v>
      </c>
      <c r="B2" s="16" t="s">
        <v>889</v>
      </c>
      <c r="C2" s="16" t="s">
        <v>344</v>
      </c>
      <c r="D2" s="16" t="s">
        <v>890</v>
      </c>
      <c r="E2" s="16" t="s">
        <v>891</v>
      </c>
      <c r="F2" s="16" t="s">
        <v>892</v>
      </c>
      <c r="G2" s="16" t="s">
        <v>893</v>
      </c>
      <c r="H2" s="16">
        <v>2021</v>
      </c>
      <c r="I2" s="16" t="s">
        <v>894</v>
      </c>
      <c r="J2" s="16" t="s">
        <v>895</v>
      </c>
      <c r="K2" s="16" t="s">
        <v>896</v>
      </c>
      <c r="L2" s="16" t="s">
        <v>897</v>
      </c>
      <c r="M2" s="16" t="s">
        <v>898</v>
      </c>
      <c r="N2" s="16" t="s">
        <v>899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1">
    <pageSetUpPr fitToPage="1"/>
  </sheetPr>
  <dimension ref="A1:V79"/>
  <sheetViews>
    <sheetView tabSelected="1" workbookViewId="0"/>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900</v>
      </c>
      <c r="I2" t="s">
        <v>148</v>
      </c>
      <c r="J2" s="11" t="s">
        <v>149</v>
      </c>
      <c r="K2" s="13">
        <f>L2</f>
        <v>2000</v>
      </c>
      <c r="L2" s="13">
        <v>2000</v>
      </c>
      <c r="M2" s="13"/>
      <c r="N2" s="13"/>
      <c r="O2" s="13">
        <v>3126</v>
      </c>
      <c r="P2" s="13">
        <v>0</v>
      </c>
      <c r="Q2" s="13">
        <v>0</v>
      </c>
      <c r="R2" s="13">
        <v>0</v>
      </c>
      <c r="S2" s="13">
        <v>442.7</v>
      </c>
      <c r="T2" s="13">
        <v>0</v>
      </c>
      <c r="U2" s="13">
        <v>0</v>
      </c>
      <c r="V2" s="13">
        <v>0</v>
      </c>
    </row>
    <row r="3" spans="1:22">
      <c r="A3" t="s">
        <v>150</v>
      </c>
      <c r="B3">
        <v>1</v>
      </c>
      <c r="C3" t="s">
        <v>144</v>
      </c>
      <c r="D3">
        <v>3</v>
      </c>
      <c r="E3" t="s">
        <v>145</v>
      </c>
      <c r="F3">
        <v>2</v>
      </c>
      <c r="G3" t="s">
        <v>151</v>
      </c>
      <c r="H3" s="14" t="s">
        <v>900</v>
      </c>
      <c r="I3" t="s">
        <v>152</v>
      </c>
      <c r="J3" s="11" t="s">
        <v>149</v>
      </c>
      <c r="K3" s="13">
        <f>L3</f>
        <v>1800</v>
      </c>
      <c r="L3" s="13">
        <v>1800</v>
      </c>
      <c r="M3" s="13"/>
      <c r="N3" s="13"/>
      <c r="O3" s="13">
        <v>7144.9</v>
      </c>
      <c r="P3" s="13">
        <v>0</v>
      </c>
      <c r="Q3" s="13">
        <v>0</v>
      </c>
      <c r="R3" s="13">
        <v>0</v>
      </c>
      <c r="S3" s="13">
        <v>484.89</v>
      </c>
      <c r="T3" s="13">
        <v>0</v>
      </c>
      <c r="U3" s="13">
        <v>0</v>
      </c>
      <c r="V3" s="13">
        <v>0</v>
      </c>
    </row>
    <row r="4" spans="1:22">
      <c r="A4" t="s">
        <v>153</v>
      </c>
      <c r="B4">
        <v>1</v>
      </c>
      <c r="C4" t="s">
        <v>144</v>
      </c>
      <c r="D4">
        <v>3</v>
      </c>
      <c r="E4" t="s">
        <v>145</v>
      </c>
      <c r="F4">
        <v>2</v>
      </c>
      <c r="G4" t="s">
        <v>151</v>
      </c>
      <c r="H4" s="14" t="s">
        <v>900</v>
      </c>
      <c r="I4" t="s">
        <v>154</v>
      </c>
      <c r="J4" s="11" t="s">
        <v>149</v>
      </c>
      <c r="K4" s="13">
        <f>L4</f>
        <v>2000</v>
      </c>
      <c r="L4" s="13">
        <v>2000</v>
      </c>
      <c r="M4" s="13"/>
      <c r="N4" s="13"/>
      <c r="O4" s="13">
        <v>7288.13</v>
      </c>
      <c r="P4" s="13">
        <v>0</v>
      </c>
      <c r="Q4" s="13">
        <v>0</v>
      </c>
      <c r="R4" s="13">
        <v>0</v>
      </c>
      <c r="S4" s="13">
        <v>486.81</v>
      </c>
      <c r="T4" s="13">
        <v>0</v>
      </c>
      <c r="U4" s="13">
        <v>0</v>
      </c>
      <c r="V4" s="13">
        <v>0</v>
      </c>
    </row>
    <row r="5" spans="1:22">
      <c r="A5" t="s">
        <v>155</v>
      </c>
      <c r="B5">
        <v>1</v>
      </c>
      <c r="C5" t="s">
        <v>144</v>
      </c>
      <c r="D5">
        <v>3</v>
      </c>
      <c r="E5" t="s">
        <v>145</v>
      </c>
      <c r="F5">
        <v>2</v>
      </c>
      <c r="G5" t="s">
        <v>151</v>
      </c>
      <c r="H5" s="14" t="s">
        <v>900</v>
      </c>
      <c r="I5" t="s">
        <v>156</v>
      </c>
      <c r="J5" s="11" t="s">
        <v>157</v>
      </c>
      <c r="K5" s="13">
        <f>M5</f>
        <v>159</v>
      </c>
      <c r="L5" s="13">
        <v>1700</v>
      </c>
      <c r="M5" s="13">
        <v>159</v>
      </c>
      <c r="N5" s="13"/>
      <c r="O5" s="13">
        <v>379.91</v>
      </c>
      <c r="P5" s="13">
        <v>0</v>
      </c>
      <c r="Q5" s="13">
        <v>0</v>
      </c>
      <c r="R5" s="13">
        <v>0</v>
      </c>
      <c r="S5" s="13">
        <v>24.15</v>
      </c>
      <c r="T5" s="13">
        <v>0</v>
      </c>
      <c r="U5" s="13">
        <v>0</v>
      </c>
      <c r="V5" s="13">
        <v>0</v>
      </c>
    </row>
    <row r="6" spans="1:22">
      <c r="A6" t="s">
        <v>158</v>
      </c>
      <c r="B6">
        <v>1</v>
      </c>
      <c r="C6" t="s">
        <v>144</v>
      </c>
      <c r="D6">
        <v>3</v>
      </c>
      <c r="E6" t="s">
        <v>145</v>
      </c>
      <c r="F6">
        <v>3</v>
      </c>
      <c r="G6" s="19" t="s">
        <v>159</v>
      </c>
      <c r="H6" s="14" t="s">
        <v>900</v>
      </c>
      <c r="I6" t="s">
        <v>160</v>
      </c>
      <c r="J6" s="11" t="s">
        <v>149</v>
      </c>
      <c r="K6" s="13">
        <f t="shared" ref="K6:K15" si="0">L6</f>
        <v>380</v>
      </c>
      <c r="L6" s="13">
        <v>380</v>
      </c>
      <c r="M6" s="13"/>
      <c r="N6" s="13"/>
      <c r="O6" s="13">
        <v>1662.14</v>
      </c>
      <c r="P6" s="13">
        <v>0</v>
      </c>
      <c r="Q6" s="13">
        <v>0</v>
      </c>
      <c r="R6" s="13">
        <v>0</v>
      </c>
      <c r="S6" s="13">
        <v>272.04000000000002</v>
      </c>
      <c r="T6" s="13">
        <v>0</v>
      </c>
      <c r="U6" s="13">
        <v>0</v>
      </c>
      <c r="V6" s="13">
        <v>0</v>
      </c>
    </row>
    <row r="7" spans="1:22">
      <c r="A7" t="s">
        <v>161</v>
      </c>
      <c r="B7">
        <v>1</v>
      </c>
      <c r="C7" t="s">
        <v>144</v>
      </c>
      <c r="D7">
        <v>3</v>
      </c>
      <c r="E7" t="s">
        <v>145</v>
      </c>
      <c r="F7">
        <v>3</v>
      </c>
      <c r="G7" s="19" t="s">
        <v>159</v>
      </c>
      <c r="H7" s="14" t="s">
        <v>900</v>
      </c>
      <c r="I7" t="s">
        <v>162</v>
      </c>
      <c r="J7" s="11" t="s">
        <v>149</v>
      </c>
      <c r="K7" s="13">
        <f t="shared" si="0"/>
        <v>472</v>
      </c>
      <c r="L7" s="13">
        <v>472</v>
      </c>
      <c r="M7" s="13"/>
      <c r="N7" s="13"/>
      <c r="O7" s="13">
        <v>2465.44</v>
      </c>
      <c r="P7" s="13">
        <v>0</v>
      </c>
      <c r="Q7" s="13">
        <v>0</v>
      </c>
      <c r="R7" s="13">
        <v>0</v>
      </c>
      <c r="S7" s="13">
        <v>375.01</v>
      </c>
      <c r="T7" s="13">
        <v>0</v>
      </c>
      <c r="U7" s="13">
        <v>0</v>
      </c>
      <c r="V7" s="13">
        <v>0</v>
      </c>
    </row>
    <row r="8" spans="1:22">
      <c r="A8" t="s">
        <v>163</v>
      </c>
      <c r="B8">
        <v>1</v>
      </c>
      <c r="C8" t="s">
        <v>144</v>
      </c>
      <c r="D8">
        <v>3</v>
      </c>
      <c r="E8" t="s">
        <v>145</v>
      </c>
      <c r="F8">
        <v>3</v>
      </c>
      <c r="G8" s="19" t="s">
        <v>159</v>
      </c>
      <c r="H8" s="14" t="s">
        <v>900</v>
      </c>
      <c r="I8" t="s">
        <v>164</v>
      </c>
      <c r="J8" s="11" t="s">
        <v>149</v>
      </c>
      <c r="K8" s="13">
        <f t="shared" si="0"/>
        <v>500</v>
      </c>
      <c r="L8" s="13">
        <v>500</v>
      </c>
      <c r="M8" s="13"/>
      <c r="N8" s="13"/>
      <c r="O8" s="13">
        <v>2013.94</v>
      </c>
      <c r="P8" s="13">
        <v>0</v>
      </c>
      <c r="Q8" s="13">
        <v>0</v>
      </c>
      <c r="R8" s="13">
        <v>0</v>
      </c>
      <c r="S8" s="13">
        <v>330.72</v>
      </c>
      <c r="T8" s="13">
        <v>0</v>
      </c>
      <c r="U8" s="13">
        <v>0</v>
      </c>
      <c r="V8" s="13">
        <v>0</v>
      </c>
    </row>
    <row r="9" spans="1:22">
      <c r="A9" t="s">
        <v>165</v>
      </c>
      <c r="B9">
        <v>1</v>
      </c>
      <c r="C9" t="s">
        <v>144</v>
      </c>
      <c r="D9">
        <v>3</v>
      </c>
      <c r="E9" t="s">
        <v>145</v>
      </c>
      <c r="F9">
        <v>4</v>
      </c>
      <c r="G9" s="19" t="s">
        <v>166</v>
      </c>
      <c r="H9" s="14" t="s">
        <v>900</v>
      </c>
      <c r="I9" t="s">
        <v>167</v>
      </c>
      <c r="J9" s="11" t="s">
        <v>149</v>
      </c>
      <c r="K9" s="13">
        <f t="shared" si="0"/>
        <v>500</v>
      </c>
      <c r="L9" s="13">
        <v>500</v>
      </c>
      <c r="M9" s="13"/>
      <c r="N9" s="13"/>
      <c r="O9" s="13">
        <v>426.91</v>
      </c>
      <c r="P9" s="13">
        <v>0</v>
      </c>
      <c r="Q9" s="13">
        <v>0</v>
      </c>
      <c r="R9" s="13">
        <v>0</v>
      </c>
      <c r="S9" s="13">
        <v>67.239999999999995</v>
      </c>
      <c r="T9" s="13">
        <v>0</v>
      </c>
      <c r="U9" s="13">
        <v>0</v>
      </c>
      <c r="V9" s="13">
        <v>0</v>
      </c>
    </row>
    <row r="10" spans="1:22" ht="14.1" customHeight="1">
      <c r="A10" t="s">
        <v>168</v>
      </c>
      <c r="B10">
        <v>1</v>
      </c>
      <c r="C10" t="s">
        <v>144</v>
      </c>
      <c r="D10">
        <v>3</v>
      </c>
      <c r="E10" t="s">
        <v>145</v>
      </c>
      <c r="F10">
        <v>4</v>
      </c>
      <c r="G10" s="19" t="s">
        <v>166</v>
      </c>
      <c r="H10" s="14" t="s">
        <v>900</v>
      </c>
      <c r="I10" s="12" t="s">
        <v>169</v>
      </c>
      <c r="J10" s="11" t="s">
        <v>149</v>
      </c>
      <c r="K10" s="13">
        <f t="shared" si="0"/>
        <v>900</v>
      </c>
      <c r="L10" s="13">
        <v>900</v>
      </c>
      <c r="M10" s="13"/>
      <c r="N10" s="13"/>
      <c r="O10" s="13">
        <v>724.47</v>
      </c>
      <c r="P10" s="13">
        <v>0</v>
      </c>
      <c r="Q10" s="13">
        <v>0</v>
      </c>
      <c r="R10" s="13">
        <v>0</v>
      </c>
      <c r="S10" s="13">
        <v>118.66</v>
      </c>
      <c r="T10" s="13">
        <v>0</v>
      </c>
      <c r="U10" s="13">
        <v>0</v>
      </c>
      <c r="V10" s="13">
        <v>0</v>
      </c>
    </row>
    <row r="11" spans="1:22" ht="14.1" customHeight="1">
      <c r="A11" t="s">
        <v>170</v>
      </c>
      <c r="B11">
        <v>1</v>
      </c>
      <c r="C11" t="s">
        <v>144</v>
      </c>
      <c r="D11">
        <v>3</v>
      </c>
      <c r="E11" t="s">
        <v>145</v>
      </c>
      <c r="F11">
        <v>4</v>
      </c>
      <c r="G11" s="19" t="s">
        <v>166</v>
      </c>
      <c r="H11" s="14" t="s">
        <v>900</v>
      </c>
      <c r="I11" s="12" t="s">
        <v>171</v>
      </c>
      <c r="J11" s="11" t="s">
        <v>149</v>
      </c>
      <c r="K11" s="13">
        <f t="shared" si="0"/>
        <v>1601</v>
      </c>
      <c r="L11" s="13">
        <v>1601</v>
      </c>
      <c r="M11" s="13"/>
      <c r="N11" s="13"/>
      <c r="O11" s="13">
        <v>5818.78</v>
      </c>
      <c r="P11" s="13">
        <v>0</v>
      </c>
      <c r="Q11" s="13">
        <v>0</v>
      </c>
      <c r="R11" s="13">
        <v>0</v>
      </c>
      <c r="S11" s="13">
        <v>614.33000000000004</v>
      </c>
      <c r="T11" s="13">
        <v>0</v>
      </c>
      <c r="U11" s="13">
        <v>0</v>
      </c>
      <c r="V11" s="13">
        <v>0</v>
      </c>
    </row>
    <row r="12" spans="1:22" ht="14.1" customHeight="1">
      <c r="A12" t="s">
        <v>172</v>
      </c>
      <c r="B12">
        <v>1</v>
      </c>
      <c r="C12" t="s">
        <v>144</v>
      </c>
      <c r="D12">
        <v>3</v>
      </c>
      <c r="E12" t="s">
        <v>145</v>
      </c>
      <c r="F12">
        <v>4</v>
      </c>
      <c r="G12" s="19" t="s">
        <v>166</v>
      </c>
      <c r="H12" s="14" t="s">
        <v>900</v>
      </c>
      <c r="I12" s="12" t="s">
        <v>173</v>
      </c>
      <c r="J12" s="11" t="s">
        <v>149</v>
      </c>
      <c r="K12" s="13">
        <f t="shared" si="0"/>
        <v>501</v>
      </c>
      <c r="L12" s="13">
        <v>501</v>
      </c>
      <c r="M12" s="13"/>
      <c r="N12" s="13"/>
      <c r="O12" s="13">
        <v>2498.34</v>
      </c>
      <c r="P12" s="13">
        <v>0</v>
      </c>
      <c r="Q12" s="13">
        <v>0</v>
      </c>
      <c r="R12" s="13">
        <v>0</v>
      </c>
      <c r="S12" s="13">
        <v>278.64</v>
      </c>
      <c r="T12" s="13">
        <v>0</v>
      </c>
      <c r="U12" s="13">
        <v>0</v>
      </c>
      <c r="V12" s="13">
        <v>0</v>
      </c>
    </row>
    <row r="13" spans="1:22" ht="14.1" customHeight="1">
      <c r="A13" t="s">
        <v>174</v>
      </c>
      <c r="B13">
        <v>1</v>
      </c>
      <c r="C13" t="s">
        <v>144</v>
      </c>
      <c r="D13">
        <v>3</v>
      </c>
      <c r="E13" t="s">
        <v>145</v>
      </c>
      <c r="F13">
        <v>4</v>
      </c>
      <c r="G13" s="19" t="s">
        <v>166</v>
      </c>
      <c r="H13" s="14" t="s">
        <v>900</v>
      </c>
      <c r="I13" s="12" t="s">
        <v>175</v>
      </c>
      <c r="J13" s="11" t="s">
        <v>149</v>
      </c>
      <c r="K13" s="13">
        <f t="shared" si="0"/>
        <v>701</v>
      </c>
      <c r="L13" s="13">
        <v>701</v>
      </c>
      <c r="M13" s="13"/>
      <c r="N13" s="13"/>
      <c r="O13" s="13">
        <v>3076</v>
      </c>
      <c r="P13" s="13">
        <v>0</v>
      </c>
      <c r="Q13" s="13">
        <v>0</v>
      </c>
      <c r="R13" s="13">
        <v>0</v>
      </c>
      <c r="S13" s="13">
        <v>342.23</v>
      </c>
      <c r="T13" s="13">
        <v>0</v>
      </c>
      <c r="U13" s="13">
        <v>0</v>
      </c>
      <c r="V13" s="13">
        <v>0</v>
      </c>
    </row>
    <row r="14" spans="1:22" ht="14.1" customHeight="1">
      <c r="A14" t="s">
        <v>176</v>
      </c>
      <c r="B14">
        <v>1</v>
      </c>
      <c r="C14" t="s">
        <v>144</v>
      </c>
      <c r="D14">
        <v>3</v>
      </c>
      <c r="E14" t="s">
        <v>145</v>
      </c>
      <c r="F14">
        <v>4</v>
      </c>
      <c r="G14" s="19" t="s">
        <v>166</v>
      </c>
      <c r="H14" s="14" t="s">
        <v>900</v>
      </c>
      <c r="I14" s="12" t="s">
        <v>177</v>
      </c>
      <c r="J14" s="11" t="s">
        <v>149</v>
      </c>
      <c r="K14" s="13">
        <f t="shared" si="0"/>
        <v>1400</v>
      </c>
      <c r="L14" s="13">
        <v>1400</v>
      </c>
      <c r="M14" s="13"/>
      <c r="N14" s="13"/>
      <c r="O14" s="13">
        <v>2844.64</v>
      </c>
      <c r="P14" s="13">
        <v>0</v>
      </c>
      <c r="Q14" s="13">
        <v>0</v>
      </c>
      <c r="R14" s="13">
        <v>0</v>
      </c>
      <c r="S14" s="13">
        <v>519.46</v>
      </c>
      <c r="T14" s="13">
        <v>0</v>
      </c>
      <c r="U14" s="13">
        <v>0</v>
      </c>
      <c r="V14" s="13">
        <v>0</v>
      </c>
    </row>
    <row r="15" spans="1:22">
      <c r="A15" t="s">
        <v>178</v>
      </c>
      <c r="B15">
        <v>1</v>
      </c>
      <c r="C15" t="s">
        <v>144</v>
      </c>
      <c r="D15">
        <v>3</v>
      </c>
      <c r="E15" t="s">
        <v>145</v>
      </c>
      <c r="F15">
        <v>5</v>
      </c>
      <c r="G15" s="19" t="s">
        <v>179</v>
      </c>
      <c r="H15" s="14" t="s">
        <v>900</v>
      </c>
      <c r="I15" t="s">
        <v>180</v>
      </c>
      <c r="J15" s="11" t="s">
        <v>149</v>
      </c>
      <c r="K15" s="13">
        <f t="shared" si="0"/>
        <v>2000</v>
      </c>
      <c r="L15" s="13">
        <v>2000</v>
      </c>
      <c r="M15" s="13"/>
      <c r="N15" s="13"/>
      <c r="O15" s="13">
        <v>1644.22</v>
      </c>
      <c r="P15" s="13">
        <v>0</v>
      </c>
      <c r="Q15" s="13">
        <v>0</v>
      </c>
      <c r="R15" s="13">
        <v>0</v>
      </c>
      <c r="S15" s="13">
        <v>333.21</v>
      </c>
      <c r="T15" s="13">
        <v>0</v>
      </c>
      <c r="U15" s="13">
        <v>0</v>
      </c>
      <c r="V15" s="13">
        <v>0</v>
      </c>
    </row>
    <row r="16" spans="1:22">
      <c r="A16" t="s">
        <v>181</v>
      </c>
      <c r="B16">
        <v>1</v>
      </c>
      <c r="C16" t="s">
        <v>144</v>
      </c>
      <c r="D16">
        <v>3</v>
      </c>
      <c r="E16" t="s">
        <v>145</v>
      </c>
      <c r="F16">
        <v>5</v>
      </c>
      <c r="G16" s="19" t="s">
        <v>179</v>
      </c>
      <c r="H16" s="14" t="s">
        <v>900</v>
      </c>
      <c r="I16" t="s">
        <v>182</v>
      </c>
      <c r="J16" s="11" t="s">
        <v>157</v>
      </c>
      <c r="K16" s="13">
        <f t="shared" ref="K16:K24" si="1">M16</f>
        <v>504</v>
      </c>
      <c r="L16" s="13">
        <f>M16*5</f>
        <v>2520</v>
      </c>
      <c r="M16" s="13">
        <v>504</v>
      </c>
      <c r="N16" s="13"/>
      <c r="O16" s="13">
        <v>719.24</v>
      </c>
      <c r="P16" s="13">
        <v>0</v>
      </c>
      <c r="Q16" s="13">
        <v>0</v>
      </c>
      <c r="R16" s="13">
        <v>0</v>
      </c>
      <c r="S16" s="13">
        <v>123.78</v>
      </c>
      <c r="T16" s="13">
        <v>0</v>
      </c>
      <c r="U16" s="13">
        <v>0</v>
      </c>
      <c r="V16" s="13">
        <v>0</v>
      </c>
    </row>
    <row r="17" spans="1:22">
      <c r="A17" t="s">
        <v>183</v>
      </c>
      <c r="B17">
        <v>1</v>
      </c>
      <c r="C17" t="s">
        <v>144</v>
      </c>
      <c r="D17">
        <v>3</v>
      </c>
      <c r="E17" t="s">
        <v>145</v>
      </c>
      <c r="F17">
        <v>5</v>
      </c>
      <c r="G17" s="19" t="s">
        <v>179</v>
      </c>
      <c r="H17" s="14" t="s">
        <v>900</v>
      </c>
      <c r="I17" t="s">
        <v>184</v>
      </c>
      <c r="J17" s="11" t="s">
        <v>157</v>
      </c>
      <c r="K17" s="13">
        <f t="shared" si="1"/>
        <v>291.3</v>
      </c>
      <c r="L17" s="13">
        <f>M17/12*100</f>
        <v>2427.5</v>
      </c>
      <c r="M17" s="13">
        <v>291.3</v>
      </c>
      <c r="N17" s="13"/>
      <c r="O17" s="13">
        <v>277.48</v>
      </c>
      <c r="P17" s="13">
        <v>0</v>
      </c>
      <c r="Q17" s="13">
        <v>0</v>
      </c>
      <c r="R17" s="13">
        <v>0</v>
      </c>
      <c r="S17" s="13">
        <v>53.2</v>
      </c>
      <c r="T17" s="13">
        <v>0</v>
      </c>
      <c r="U17" s="13">
        <v>0</v>
      </c>
      <c r="V17" s="13">
        <v>0</v>
      </c>
    </row>
    <row r="18" spans="1:22" ht="14.1" customHeight="1">
      <c r="A18" t="s">
        <v>185</v>
      </c>
      <c r="B18">
        <v>1</v>
      </c>
      <c r="C18" t="s">
        <v>144</v>
      </c>
      <c r="D18">
        <v>3</v>
      </c>
      <c r="E18" t="s">
        <v>145</v>
      </c>
      <c r="F18">
        <v>8</v>
      </c>
      <c r="G18" t="s">
        <v>186</v>
      </c>
      <c r="H18" s="14" t="s">
        <v>900</v>
      </c>
      <c r="I18" s="12" t="s">
        <v>187</v>
      </c>
      <c r="J18" s="11" t="s">
        <v>157</v>
      </c>
      <c r="K18" s="13">
        <f t="shared" si="1"/>
        <v>52</v>
      </c>
      <c r="L18" s="13"/>
      <c r="M18" s="13">
        <v>52</v>
      </c>
      <c r="N18" s="13"/>
      <c r="O18" s="13">
        <v>313.13</v>
      </c>
      <c r="P18" s="13">
        <v>0</v>
      </c>
      <c r="Q18" s="13">
        <v>0</v>
      </c>
      <c r="R18" s="13">
        <v>0</v>
      </c>
      <c r="S18" s="13">
        <v>23.9</v>
      </c>
      <c r="T18" s="13">
        <v>0</v>
      </c>
      <c r="U18" s="13">
        <v>0</v>
      </c>
      <c r="V18" s="13">
        <v>0</v>
      </c>
    </row>
    <row r="19" spans="1:22" ht="14.1" customHeight="1">
      <c r="A19" t="s">
        <v>188</v>
      </c>
      <c r="B19">
        <v>1</v>
      </c>
      <c r="C19" t="s">
        <v>144</v>
      </c>
      <c r="D19">
        <v>3</v>
      </c>
      <c r="E19" t="s">
        <v>145</v>
      </c>
      <c r="F19">
        <v>8</v>
      </c>
      <c r="G19" t="s">
        <v>186</v>
      </c>
      <c r="H19" s="14" t="s">
        <v>900</v>
      </c>
      <c r="I19" s="12" t="s">
        <v>189</v>
      </c>
      <c r="J19" s="11" t="s">
        <v>157</v>
      </c>
      <c r="K19" s="13">
        <f t="shared" si="1"/>
        <v>78</v>
      </c>
      <c r="L19" s="13"/>
      <c r="M19" s="13">
        <v>78</v>
      </c>
      <c r="N19" s="13"/>
      <c r="O19" s="13">
        <v>620.71</v>
      </c>
      <c r="P19" s="13">
        <v>0</v>
      </c>
      <c r="Q19" s="13">
        <v>0</v>
      </c>
      <c r="R19" s="13">
        <v>0</v>
      </c>
      <c r="S19" s="13">
        <v>47.37</v>
      </c>
      <c r="T19" s="13">
        <v>0</v>
      </c>
      <c r="U19" s="13">
        <v>0</v>
      </c>
      <c r="V19" s="13">
        <v>0</v>
      </c>
    </row>
    <row r="20" spans="1:22" ht="14.1" customHeight="1">
      <c r="A20" t="s">
        <v>190</v>
      </c>
      <c r="B20">
        <v>1</v>
      </c>
      <c r="C20" t="s">
        <v>144</v>
      </c>
      <c r="D20">
        <v>3</v>
      </c>
      <c r="E20" t="s">
        <v>145</v>
      </c>
      <c r="F20">
        <v>8</v>
      </c>
      <c r="G20" t="s">
        <v>186</v>
      </c>
      <c r="H20" s="14" t="s">
        <v>900</v>
      </c>
      <c r="I20" s="12" t="s">
        <v>191</v>
      </c>
      <c r="J20" s="11" t="s">
        <v>157</v>
      </c>
      <c r="K20" s="13">
        <f t="shared" si="1"/>
        <v>52</v>
      </c>
      <c r="L20" s="13"/>
      <c r="M20" s="13">
        <v>52</v>
      </c>
      <c r="N20" s="13"/>
      <c r="O20" s="13">
        <v>606.1</v>
      </c>
      <c r="P20" s="13">
        <v>0</v>
      </c>
      <c r="Q20" s="13">
        <v>0</v>
      </c>
      <c r="R20" s="13">
        <v>0</v>
      </c>
      <c r="S20" s="13">
        <v>46.26</v>
      </c>
      <c r="T20" s="13">
        <v>0</v>
      </c>
      <c r="U20" s="13">
        <v>0</v>
      </c>
      <c r="V20" s="13">
        <v>0</v>
      </c>
    </row>
    <row r="21" spans="1:22" ht="14.1" customHeight="1">
      <c r="A21" t="s">
        <v>192</v>
      </c>
      <c r="B21">
        <v>1</v>
      </c>
      <c r="C21" t="s">
        <v>144</v>
      </c>
      <c r="D21">
        <v>3</v>
      </c>
      <c r="E21" t="s">
        <v>145</v>
      </c>
      <c r="F21">
        <v>8</v>
      </c>
      <c r="G21" t="s">
        <v>186</v>
      </c>
      <c r="H21" s="14" t="s">
        <v>900</v>
      </c>
      <c r="I21" s="12" t="s">
        <v>193</v>
      </c>
      <c r="J21" s="11" t="s">
        <v>157</v>
      </c>
      <c r="K21" s="13">
        <f t="shared" si="1"/>
        <v>104</v>
      </c>
      <c r="L21" s="13"/>
      <c r="M21" s="13">
        <v>104</v>
      </c>
      <c r="N21" s="13"/>
      <c r="O21" s="13">
        <v>316.31</v>
      </c>
      <c r="P21" s="13">
        <v>0</v>
      </c>
      <c r="Q21" s="13">
        <v>0</v>
      </c>
      <c r="R21" s="13">
        <v>0</v>
      </c>
      <c r="S21" s="13">
        <v>24.12</v>
      </c>
      <c r="T21" s="13">
        <v>0</v>
      </c>
      <c r="U21" s="13">
        <v>0</v>
      </c>
      <c r="V21" s="13">
        <v>0</v>
      </c>
    </row>
    <row r="22" spans="1:22" ht="14.1" customHeight="1">
      <c r="A22" t="s">
        <v>194</v>
      </c>
      <c r="B22">
        <v>1</v>
      </c>
      <c r="C22" t="s">
        <v>144</v>
      </c>
      <c r="D22">
        <v>3</v>
      </c>
      <c r="E22" t="s">
        <v>145</v>
      </c>
      <c r="F22">
        <v>8</v>
      </c>
      <c r="G22" t="s">
        <v>186</v>
      </c>
      <c r="H22" s="14" t="s">
        <v>900</v>
      </c>
      <c r="I22" s="12" t="s">
        <v>195</v>
      </c>
      <c r="J22" s="11" t="s">
        <v>157</v>
      </c>
      <c r="K22" s="13">
        <f t="shared" si="1"/>
        <v>52</v>
      </c>
      <c r="L22" s="13"/>
      <c r="M22" s="13">
        <v>52</v>
      </c>
      <c r="N22" s="13"/>
      <c r="O22" s="13">
        <v>287.08999999999997</v>
      </c>
      <c r="P22" s="13">
        <v>0</v>
      </c>
      <c r="Q22" s="13">
        <v>0</v>
      </c>
      <c r="R22" s="13">
        <v>0</v>
      </c>
      <c r="S22" s="13">
        <v>21.91</v>
      </c>
      <c r="T22" s="13">
        <v>0</v>
      </c>
      <c r="U22" s="13">
        <v>0</v>
      </c>
      <c r="V22" s="13">
        <v>0</v>
      </c>
    </row>
    <row r="23" spans="1:22">
      <c r="A23" t="s">
        <v>196</v>
      </c>
      <c r="B23">
        <v>1</v>
      </c>
      <c r="C23" t="s">
        <v>144</v>
      </c>
      <c r="D23">
        <v>3</v>
      </c>
      <c r="E23" t="s">
        <v>145</v>
      </c>
      <c r="F23">
        <v>10</v>
      </c>
      <c r="G23" t="s">
        <v>197</v>
      </c>
      <c r="H23" s="14" t="s">
        <v>900</v>
      </c>
      <c r="I23" t="s">
        <v>198</v>
      </c>
      <c r="J23" s="11" t="s">
        <v>157</v>
      </c>
      <c r="K23" s="13">
        <f t="shared" si="1"/>
        <v>45</v>
      </c>
      <c r="L23" s="13"/>
      <c r="M23" s="13">
        <v>45</v>
      </c>
      <c r="N23" s="13"/>
      <c r="O23" s="13">
        <v>217.03</v>
      </c>
      <c r="P23" s="13">
        <v>0</v>
      </c>
      <c r="Q23" s="13">
        <v>0</v>
      </c>
      <c r="R23" s="13">
        <v>0</v>
      </c>
      <c r="S23" s="13">
        <v>14.49</v>
      </c>
      <c r="T23" s="13">
        <v>0</v>
      </c>
      <c r="U23" s="13">
        <v>0</v>
      </c>
      <c r="V23" s="13">
        <v>0</v>
      </c>
    </row>
    <row r="24" spans="1:22">
      <c r="A24" t="s">
        <v>199</v>
      </c>
      <c r="B24">
        <v>1</v>
      </c>
      <c r="C24" t="s">
        <v>144</v>
      </c>
      <c r="D24">
        <v>3</v>
      </c>
      <c r="E24" t="s">
        <v>145</v>
      </c>
      <c r="F24">
        <v>11</v>
      </c>
      <c r="G24" s="19" t="s">
        <v>200</v>
      </c>
      <c r="H24" s="14" t="s">
        <v>900</v>
      </c>
      <c r="I24" t="s">
        <v>201</v>
      </c>
      <c r="J24" s="11" t="s">
        <v>157</v>
      </c>
      <c r="K24" s="13">
        <f t="shared" si="1"/>
        <v>42</v>
      </c>
      <c r="L24" s="13"/>
      <c r="M24" s="13">
        <v>42</v>
      </c>
      <c r="N24" s="13"/>
      <c r="O24" s="13">
        <v>140.91999999999999</v>
      </c>
      <c r="P24" s="13">
        <v>0</v>
      </c>
      <c r="Q24" s="13">
        <v>0</v>
      </c>
      <c r="R24" s="13">
        <v>0</v>
      </c>
      <c r="S24" s="13">
        <v>18.89</v>
      </c>
      <c r="T24" s="13">
        <v>0</v>
      </c>
      <c r="U24" s="13">
        <v>0</v>
      </c>
      <c r="V24" s="13">
        <v>0</v>
      </c>
    </row>
    <row r="25" spans="1:22" ht="14.1" customHeight="1">
      <c r="A25" t="s">
        <v>202</v>
      </c>
      <c r="B25">
        <v>1</v>
      </c>
      <c r="C25" t="s">
        <v>144</v>
      </c>
      <c r="D25">
        <v>3</v>
      </c>
      <c r="E25" t="s">
        <v>145</v>
      </c>
      <c r="F25">
        <v>12</v>
      </c>
      <c r="G25" s="19" t="s">
        <v>203</v>
      </c>
      <c r="H25" s="14" t="s">
        <v>900</v>
      </c>
      <c r="I25" s="12" t="s">
        <v>204</v>
      </c>
      <c r="J25" s="11" t="s">
        <v>157</v>
      </c>
      <c r="K25" s="13"/>
      <c r="L25" s="13">
        <v>1300</v>
      </c>
      <c r="M25" s="13"/>
      <c r="N25" s="13"/>
      <c r="O25" s="13">
        <v>112.51</v>
      </c>
      <c r="P25" s="13">
        <v>0</v>
      </c>
      <c r="Q25" s="13">
        <v>0</v>
      </c>
      <c r="R25" s="13">
        <v>0</v>
      </c>
      <c r="S25" s="13">
        <v>10.64</v>
      </c>
      <c r="T25" s="13">
        <v>0</v>
      </c>
      <c r="U25" s="13">
        <v>0</v>
      </c>
      <c r="V25" s="13">
        <v>0</v>
      </c>
    </row>
    <row r="26" spans="1:22" ht="14.1" customHeight="1">
      <c r="A26" t="s">
        <v>205</v>
      </c>
      <c r="B26">
        <v>1</v>
      </c>
      <c r="C26" t="s">
        <v>144</v>
      </c>
      <c r="D26">
        <v>3</v>
      </c>
      <c r="E26" t="s">
        <v>145</v>
      </c>
      <c r="F26">
        <v>13</v>
      </c>
      <c r="G26" t="s">
        <v>206</v>
      </c>
      <c r="H26" s="14" t="s">
        <v>900</v>
      </c>
      <c r="I26" s="12" t="s">
        <v>207</v>
      </c>
      <c r="J26" s="11" t="s">
        <v>157</v>
      </c>
      <c r="K26" s="13">
        <v>10</v>
      </c>
      <c r="L26" s="13"/>
      <c r="M26" s="13">
        <v>10</v>
      </c>
      <c r="N26" s="13"/>
      <c r="O26" s="13">
        <v>47.83</v>
      </c>
      <c r="P26" s="13">
        <v>0</v>
      </c>
      <c r="Q26" s="13">
        <v>0</v>
      </c>
      <c r="R26" s="13">
        <v>0</v>
      </c>
      <c r="S26" s="13">
        <v>2.4300000000000002</v>
      </c>
      <c r="T26" s="13">
        <v>0</v>
      </c>
      <c r="U26" s="13">
        <v>0</v>
      </c>
      <c r="V26" s="13">
        <v>0</v>
      </c>
    </row>
    <row r="27" spans="1:22" ht="14.1" customHeight="1">
      <c r="A27" t="s">
        <v>208</v>
      </c>
      <c r="B27">
        <v>1</v>
      </c>
      <c r="C27" t="s">
        <v>144</v>
      </c>
      <c r="D27">
        <v>3</v>
      </c>
      <c r="E27" t="s">
        <v>145</v>
      </c>
      <c r="F27">
        <v>13</v>
      </c>
      <c r="G27" t="s">
        <v>206</v>
      </c>
      <c r="H27" s="14" t="s">
        <v>900</v>
      </c>
      <c r="I27" s="12" t="s">
        <v>209</v>
      </c>
      <c r="J27" s="11" t="s">
        <v>157</v>
      </c>
      <c r="K27" s="13">
        <v>10</v>
      </c>
      <c r="L27" s="13"/>
      <c r="M27" s="13">
        <v>10</v>
      </c>
      <c r="N27" s="13"/>
      <c r="O27" s="13">
        <v>50.04</v>
      </c>
      <c r="P27" s="13">
        <v>0</v>
      </c>
      <c r="Q27" s="13">
        <v>0</v>
      </c>
      <c r="R27" s="13">
        <v>0</v>
      </c>
      <c r="S27" s="13">
        <v>2.58</v>
      </c>
      <c r="T27" s="13">
        <v>0</v>
      </c>
      <c r="U27" s="13">
        <v>0</v>
      </c>
      <c r="V27" s="13">
        <v>0</v>
      </c>
    </row>
    <row r="28" spans="1:22" ht="14.1" customHeight="1">
      <c r="A28" t="s">
        <v>210</v>
      </c>
      <c r="B28">
        <v>1</v>
      </c>
      <c r="C28" t="s">
        <v>144</v>
      </c>
      <c r="D28">
        <v>3</v>
      </c>
      <c r="E28" t="s">
        <v>145</v>
      </c>
      <c r="F28">
        <v>13</v>
      </c>
      <c r="G28" t="s">
        <v>206</v>
      </c>
      <c r="H28" s="14" t="s">
        <v>900</v>
      </c>
      <c r="I28" s="12" t="s">
        <v>211</v>
      </c>
      <c r="J28" s="11" t="s">
        <v>157</v>
      </c>
      <c r="K28" s="13">
        <v>10</v>
      </c>
      <c r="L28" s="13"/>
      <c r="M28" s="13">
        <v>10</v>
      </c>
      <c r="N28" s="13"/>
      <c r="O28" s="13">
        <v>68.77</v>
      </c>
      <c r="P28" s="13">
        <v>0</v>
      </c>
      <c r="Q28" s="13">
        <v>0</v>
      </c>
      <c r="R28" s="13">
        <v>0</v>
      </c>
      <c r="S28" s="13">
        <v>4.63</v>
      </c>
      <c r="T28" s="13">
        <v>0</v>
      </c>
      <c r="U28" s="13">
        <v>0</v>
      </c>
      <c r="V28" s="13">
        <v>0</v>
      </c>
    </row>
    <row r="29" spans="1:22" ht="14.1" customHeight="1">
      <c r="A29" t="s">
        <v>212</v>
      </c>
      <c r="B29">
        <v>1</v>
      </c>
      <c r="C29" t="s">
        <v>144</v>
      </c>
      <c r="D29">
        <v>3</v>
      </c>
      <c r="E29" t="s">
        <v>145</v>
      </c>
      <c r="F29">
        <v>17</v>
      </c>
      <c r="G29" t="s">
        <v>213</v>
      </c>
      <c r="H29" s="14" t="s">
        <v>900</v>
      </c>
      <c r="I29" s="12" t="s">
        <v>214</v>
      </c>
      <c r="J29" s="11" t="s">
        <v>149</v>
      </c>
      <c r="K29" s="13">
        <f t="shared" ref="K29:K35" si="2">L29</f>
        <v>1200</v>
      </c>
      <c r="L29" s="13">
        <v>1200</v>
      </c>
      <c r="M29" s="13"/>
      <c r="N29" s="13"/>
      <c r="O29" s="13">
        <v>159.91</v>
      </c>
      <c r="P29" s="13">
        <v>0</v>
      </c>
      <c r="Q29" s="13">
        <v>0</v>
      </c>
      <c r="R29" s="13">
        <v>0</v>
      </c>
      <c r="S29" s="13">
        <v>139.82</v>
      </c>
      <c r="T29" s="13">
        <v>0</v>
      </c>
      <c r="U29" s="13">
        <v>0</v>
      </c>
      <c r="V29" s="13">
        <v>0</v>
      </c>
    </row>
    <row r="30" spans="1:22" ht="14.1" customHeight="1">
      <c r="A30" t="s">
        <v>215</v>
      </c>
      <c r="B30">
        <v>1</v>
      </c>
      <c r="C30" t="s">
        <v>144</v>
      </c>
      <c r="D30">
        <v>3</v>
      </c>
      <c r="E30" t="s">
        <v>145</v>
      </c>
      <c r="F30">
        <v>17</v>
      </c>
      <c r="G30" t="s">
        <v>213</v>
      </c>
      <c r="H30" s="14" t="s">
        <v>900</v>
      </c>
      <c r="I30" s="12" t="s">
        <v>216</v>
      </c>
      <c r="J30" s="11" t="s">
        <v>149</v>
      </c>
      <c r="K30" s="13">
        <f t="shared" si="2"/>
        <v>2000</v>
      </c>
      <c r="L30" s="13">
        <v>2000</v>
      </c>
      <c r="M30" s="13"/>
      <c r="N30" s="13"/>
      <c r="O30" s="13">
        <v>177.45</v>
      </c>
      <c r="P30" s="13">
        <v>0</v>
      </c>
      <c r="Q30" s="13">
        <v>0</v>
      </c>
      <c r="R30" s="13">
        <v>0</v>
      </c>
      <c r="S30" s="13">
        <v>14.2</v>
      </c>
      <c r="T30" s="13">
        <v>0</v>
      </c>
      <c r="U30" s="13">
        <v>0</v>
      </c>
      <c r="V30" s="13">
        <v>0</v>
      </c>
    </row>
    <row r="31" spans="1:22">
      <c r="A31" t="s">
        <v>217</v>
      </c>
      <c r="B31">
        <v>1</v>
      </c>
      <c r="C31" t="s">
        <v>144</v>
      </c>
      <c r="D31">
        <v>4</v>
      </c>
      <c r="E31" t="s">
        <v>218</v>
      </c>
      <c r="F31">
        <v>1</v>
      </c>
      <c r="G31" s="19" t="s">
        <v>219</v>
      </c>
      <c r="H31" s="14" t="s">
        <v>900</v>
      </c>
      <c r="I31" t="s">
        <v>220</v>
      </c>
      <c r="J31" s="11" t="s">
        <v>149</v>
      </c>
      <c r="K31" s="13">
        <f t="shared" si="2"/>
        <v>2297</v>
      </c>
      <c r="L31" s="13">
        <v>2297</v>
      </c>
      <c r="M31" s="13"/>
      <c r="N31" s="13"/>
      <c r="O31" s="13">
        <v>1018.4</v>
      </c>
      <c r="P31" s="13">
        <v>0</v>
      </c>
      <c r="Q31" s="13">
        <v>0</v>
      </c>
      <c r="R31" s="13">
        <v>0</v>
      </c>
      <c r="S31" s="13">
        <v>291.16000000000003</v>
      </c>
      <c r="T31" s="13">
        <v>0</v>
      </c>
      <c r="U31" s="13">
        <v>0</v>
      </c>
      <c r="V31" s="13">
        <v>0</v>
      </c>
    </row>
    <row r="32" spans="1:22" ht="14.1" customHeight="1">
      <c r="A32" t="s">
        <v>221</v>
      </c>
      <c r="B32">
        <v>1</v>
      </c>
      <c r="C32" t="s">
        <v>144</v>
      </c>
      <c r="D32">
        <v>4</v>
      </c>
      <c r="E32" t="s">
        <v>218</v>
      </c>
      <c r="F32">
        <v>1</v>
      </c>
      <c r="G32" s="19" t="s">
        <v>219</v>
      </c>
      <c r="H32" s="14" t="s">
        <v>900</v>
      </c>
      <c r="I32" s="12" t="s">
        <v>222</v>
      </c>
      <c r="J32" s="11" t="s">
        <v>149</v>
      </c>
      <c r="K32" s="13">
        <f t="shared" si="2"/>
        <v>2300</v>
      </c>
      <c r="L32" s="13">
        <v>2300</v>
      </c>
      <c r="M32" s="13"/>
      <c r="N32" s="13"/>
      <c r="O32" s="13">
        <v>1112.68</v>
      </c>
      <c r="P32" s="13">
        <v>0</v>
      </c>
      <c r="Q32" s="13">
        <v>0</v>
      </c>
      <c r="R32" s="13">
        <v>0</v>
      </c>
      <c r="S32" s="13">
        <v>322.58999999999997</v>
      </c>
      <c r="T32" s="13">
        <v>0</v>
      </c>
      <c r="U32" s="13">
        <v>0</v>
      </c>
      <c r="V32" s="13">
        <v>0</v>
      </c>
    </row>
    <row r="33" spans="1:22">
      <c r="A33" t="s">
        <v>223</v>
      </c>
      <c r="B33">
        <v>1</v>
      </c>
      <c r="C33" t="s">
        <v>144</v>
      </c>
      <c r="D33">
        <v>4</v>
      </c>
      <c r="E33" t="s">
        <v>218</v>
      </c>
      <c r="F33">
        <v>1</v>
      </c>
      <c r="G33" s="19" t="s">
        <v>219</v>
      </c>
      <c r="H33" s="14" t="s">
        <v>900</v>
      </c>
      <c r="I33" t="s">
        <v>224</v>
      </c>
      <c r="J33" s="11" t="s">
        <v>149</v>
      </c>
      <c r="K33" s="13">
        <f t="shared" si="2"/>
        <v>2306</v>
      </c>
      <c r="L33" s="13">
        <v>2306</v>
      </c>
      <c r="M33" s="13"/>
      <c r="N33" s="13"/>
      <c r="O33" s="13">
        <v>1270.7</v>
      </c>
      <c r="P33" s="13">
        <v>0</v>
      </c>
      <c r="Q33" s="13">
        <v>0</v>
      </c>
      <c r="R33" s="13">
        <v>0</v>
      </c>
      <c r="S33" s="13">
        <v>374.97</v>
      </c>
      <c r="T33" s="13">
        <v>0</v>
      </c>
      <c r="U33" s="13">
        <v>0</v>
      </c>
      <c r="V33" s="13">
        <v>0</v>
      </c>
    </row>
    <row r="34" spans="1:22">
      <c r="A34" t="s">
        <v>225</v>
      </c>
      <c r="B34">
        <v>1</v>
      </c>
      <c r="C34" t="s">
        <v>144</v>
      </c>
      <c r="D34">
        <v>4</v>
      </c>
      <c r="E34" t="s">
        <v>218</v>
      </c>
      <c r="F34">
        <v>1</v>
      </c>
      <c r="G34" s="19" t="s">
        <v>219</v>
      </c>
      <c r="H34" s="14" t="s">
        <v>900</v>
      </c>
      <c r="I34" t="s">
        <v>226</v>
      </c>
      <c r="J34" s="11" t="s">
        <v>149</v>
      </c>
      <c r="K34" s="13">
        <f t="shared" si="2"/>
        <v>2316.6</v>
      </c>
      <c r="L34" s="13">
        <v>2316.6</v>
      </c>
      <c r="M34" s="13"/>
      <c r="N34" s="13"/>
      <c r="O34" s="13">
        <v>1565.64</v>
      </c>
      <c r="P34" s="13">
        <v>0</v>
      </c>
      <c r="Q34" s="13">
        <v>0</v>
      </c>
      <c r="R34" s="13">
        <v>0</v>
      </c>
      <c r="S34" s="13">
        <v>473.48</v>
      </c>
      <c r="T34" s="13">
        <v>0</v>
      </c>
      <c r="U34" s="13">
        <v>0</v>
      </c>
      <c r="V34" s="13">
        <v>0</v>
      </c>
    </row>
    <row r="35" spans="1:22" ht="14.1" customHeight="1">
      <c r="A35" t="s">
        <v>227</v>
      </c>
      <c r="B35">
        <v>1</v>
      </c>
      <c r="C35" t="s">
        <v>144</v>
      </c>
      <c r="D35">
        <v>4</v>
      </c>
      <c r="E35" t="s">
        <v>218</v>
      </c>
      <c r="F35">
        <v>2</v>
      </c>
      <c r="G35" s="19" t="s">
        <v>228</v>
      </c>
      <c r="H35" s="14" t="s">
        <v>900</v>
      </c>
      <c r="I35" s="12" t="s">
        <v>229</v>
      </c>
      <c r="J35" s="11" t="s">
        <v>149</v>
      </c>
      <c r="K35" s="13">
        <f t="shared" si="2"/>
        <v>2000</v>
      </c>
      <c r="L35" s="13">
        <v>2000</v>
      </c>
      <c r="M35" s="13"/>
      <c r="N35" s="13"/>
      <c r="O35" s="13">
        <v>1622.39</v>
      </c>
      <c r="P35" s="13">
        <v>0</v>
      </c>
      <c r="Q35" s="13">
        <v>0</v>
      </c>
      <c r="R35" s="13">
        <v>0</v>
      </c>
      <c r="S35" s="13">
        <v>457.91</v>
      </c>
      <c r="T35" s="13">
        <v>0</v>
      </c>
      <c r="U35" s="13">
        <v>0</v>
      </c>
      <c r="V35" s="13">
        <v>0</v>
      </c>
    </row>
    <row r="36" spans="1:22" ht="14.1" customHeight="1">
      <c r="A36" t="s">
        <v>230</v>
      </c>
      <c r="B36">
        <v>1</v>
      </c>
      <c r="C36" t="s">
        <v>144</v>
      </c>
      <c r="D36">
        <v>4</v>
      </c>
      <c r="E36" t="s">
        <v>218</v>
      </c>
      <c r="F36">
        <v>3</v>
      </c>
      <c r="G36" s="19" t="s">
        <v>231</v>
      </c>
      <c r="H36" s="14" t="s">
        <v>900</v>
      </c>
      <c r="I36" s="12" t="s">
        <v>232</v>
      </c>
      <c r="J36" s="11" t="s">
        <v>233</v>
      </c>
      <c r="K36" s="13">
        <v>1</v>
      </c>
      <c r="L36" s="13">
        <v>2400</v>
      </c>
      <c r="M36" s="13"/>
      <c r="N36" s="13"/>
      <c r="O36" s="13">
        <v>1.74</v>
      </c>
      <c r="P36" s="13">
        <v>0</v>
      </c>
      <c r="Q36" s="13">
        <v>0</v>
      </c>
      <c r="R36" s="13">
        <v>0</v>
      </c>
      <c r="S36" s="13">
        <v>0.27</v>
      </c>
      <c r="T36" s="13">
        <v>0</v>
      </c>
      <c r="U36" s="13">
        <v>0</v>
      </c>
      <c r="V36" s="13">
        <v>0</v>
      </c>
    </row>
    <row r="37" spans="1:22">
      <c r="A37" t="s">
        <v>234</v>
      </c>
      <c r="B37">
        <v>1</v>
      </c>
      <c r="C37" t="s">
        <v>144</v>
      </c>
      <c r="D37">
        <v>4</v>
      </c>
      <c r="E37" t="s">
        <v>218</v>
      </c>
      <c r="F37">
        <v>4</v>
      </c>
      <c r="G37" s="19" t="s">
        <v>235</v>
      </c>
      <c r="H37" s="14" t="s">
        <v>900</v>
      </c>
      <c r="I37" t="s">
        <v>236</v>
      </c>
      <c r="J37" s="11" t="s">
        <v>149</v>
      </c>
      <c r="K37" s="13">
        <f t="shared" ref="K37:K52" si="3">L37</f>
        <v>1800</v>
      </c>
      <c r="L37" s="13">
        <v>1800</v>
      </c>
      <c r="M37" s="13"/>
      <c r="N37" s="13"/>
      <c r="O37" s="13">
        <v>2753.52</v>
      </c>
      <c r="P37" s="13">
        <v>0</v>
      </c>
      <c r="Q37" s="13">
        <v>0</v>
      </c>
      <c r="R37" s="13">
        <v>0</v>
      </c>
      <c r="S37" s="13">
        <v>427.08</v>
      </c>
      <c r="T37" s="13">
        <v>0</v>
      </c>
      <c r="U37" s="13">
        <v>0</v>
      </c>
      <c r="V37" s="13">
        <v>0</v>
      </c>
    </row>
    <row r="38" spans="1:22">
      <c r="A38" t="s">
        <v>237</v>
      </c>
      <c r="B38">
        <v>1</v>
      </c>
      <c r="C38" t="s">
        <v>144</v>
      </c>
      <c r="D38">
        <v>4</v>
      </c>
      <c r="E38" t="s">
        <v>218</v>
      </c>
      <c r="F38">
        <v>4</v>
      </c>
      <c r="G38" s="19" t="s">
        <v>235</v>
      </c>
      <c r="H38" s="14" t="s">
        <v>900</v>
      </c>
      <c r="I38" t="s">
        <v>238</v>
      </c>
      <c r="J38" s="11" t="s">
        <v>149</v>
      </c>
      <c r="K38" s="13">
        <f t="shared" si="3"/>
        <v>900</v>
      </c>
      <c r="L38" s="13">
        <v>900</v>
      </c>
      <c r="M38" s="13"/>
      <c r="N38" s="13"/>
      <c r="O38" s="13">
        <v>2704.18</v>
      </c>
      <c r="P38" s="13">
        <v>0</v>
      </c>
      <c r="Q38" s="13">
        <v>0</v>
      </c>
      <c r="R38" s="13">
        <v>0</v>
      </c>
      <c r="S38" s="13">
        <v>288.60000000000002</v>
      </c>
      <c r="T38" s="13">
        <v>0</v>
      </c>
      <c r="U38" s="13">
        <v>0</v>
      </c>
      <c r="V38" s="13">
        <v>0</v>
      </c>
    </row>
    <row r="39" spans="1:22">
      <c r="A39" t="s">
        <v>239</v>
      </c>
      <c r="B39">
        <v>1</v>
      </c>
      <c r="C39" t="s">
        <v>144</v>
      </c>
      <c r="D39">
        <v>4</v>
      </c>
      <c r="E39" t="s">
        <v>218</v>
      </c>
      <c r="F39">
        <v>4</v>
      </c>
      <c r="G39" s="19" t="s">
        <v>235</v>
      </c>
      <c r="H39" s="14" t="s">
        <v>900</v>
      </c>
      <c r="I39" t="s">
        <v>240</v>
      </c>
      <c r="J39" s="11" t="s">
        <v>149</v>
      </c>
      <c r="K39" s="13">
        <f t="shared" si="3"/>
        <v>1700</v>
      </c>
      <c r="L39" s="13">
        <v>1700</v>
      </c>
      <c r="M39" s="13"/>
      <c r="N39" s="13"/>
      <c r="O39" s="13">
        <v>3015.03</v>
      </c>
      <c r="P39" s="15">
        <v>0</v>
      </c>
      <c r="Q39" s="13">
        <v>0</v>
      </c>
      <c r="R39" s="13">
        <v>0</v>
      </c>
      <c r="S39" s="13">
        <v>1455.17</v>
      </c>
      <c r="T39" s="13">
        <v>0</v>
      </c>
      <c r="U39" s="13">
        <v>0</v>
      </c>
      <c r="V39" s="13">
        <v>0</v>
      </c>
    </row>
    <row r="40" spans="1:22">
      <c r="A40" t="s">
        <v>241</v>
      </c>
      <c r="B40">
        <v>1</v>
      </c>
      <c r="C40" t="s">
        <v>144</v>
      </c>
      <c r="D40">
        <v>4</v>
      </c>
      <c r="E40" t="s">
        <v>218</v>
      </c>
      <c r="F40">
        <v>4</v>
      </c>
      <c r="G40" s="19" t="s">
        <v>235</v>
      </c>
      <c r="H40" s="14" t="s">
        <v>900</v>
      </c>
      <c r="I40" t="s">
        <v>242</v>
      </c>
      <c r="J40" s="11" t="s">
        <v>149</v>
      </c>
      <c r="K40" s="13">
        <f t="shared" si="3"/>
        <v>900</v>
      </c>
      <c r="L40" s="13">
        <v>900</v>
      </c>
      <c r="M40" s="13"/>
      <c r="N40" s="13"/>
      <c r="O40" s="13">
        <v>1330.34</v>
      </c>
      <c r="P40" s="13">
        <v>0</v>
      </c>
      <c r="Q40" s="13">
        <v>0</v>
      </c>
      <c r="R40" s="13">
        <v>0</v>
      </c>
      <c r="S40" s="13">
        <v>142.66999999999999</v>
      </c>
      <c r="T40" s="13">
        <v>0</v>
      </c>
      <c r="U40" s="13">
        <v>0</v>
      </c>
      <c r="V40" s="13">
        <v>0</v>
      </c>
    </row>
    <row r="41" spans="1:22">
      <c r="A41" t="s">
        <v>243</v>
      </c>
      <c r="B41">
        <v>2</v>
      </c>
      <c r="C41" t="s">
        <v>244</v>
      </c>
      <c r="D41">
        <v>1</v>
      </c>
      <c r="E41" t="s">
        <v>245</v>
      </c>
      <c r="F41">
        <v>1</v>
      </c>
      <c r="G41" t="s">
        <v>245</v>
      </c>
      <c r="H41" s="14" t="s">
        <v>900</v>
      </c>
      <c r="I41" t="s">
        <v>246</v>
      </c>
      <c r="J41" s="11" t="s">
        <v>149</v>
      </c>
      <c r="K41" s="13">
        <f t="shared" si="3"/>
        <v>85</v>
      </c>
      <c r="L41" s="13">
        <v>85</v>
      </c>
      <c r="M41" s="13"/>
      <c r="N41" s="13"/>
      <c r="O41" s="13">
        <v>2328.91</v>
      </c>
      <c r="P41" s="13">
        <v>0</v>
      </c>
      <c r="Q41" s="13">
        <v>0</v>
      </c>
      <c r="R41" s="13">
        <v>0</v>
      </c>
      <c r="S41" s="13">
        <v>179.72</v>
      </c>
      <c r="T41" s="13">
        <v>0</v>
      </c>
      <c r="U41" s="13">
        <v>0</v>
      </c>
      <c r="V41" s="13">
        <v>0</v>
      </c>
    </row>
    <row r="42" spans="1:22">
      <c r="A42" t="s">
        <v>247</v>
      </c>
      <c r="B42">
        <v>2</v>
      </c>
      <c r="C42" t="s">
        <v>244</v>
      </c>
      <c r="D42">
        <v>1</v>
      </c>
      <c r="E42" t="s">
        <v>245</v>
      </c>
      <c r="F42">
        <v>1</v>
      </c>
      <c r="G42" t="s">
        <v>245</v>
      </c>
      <c r="H42" s="14" t="s">
        <v>900</v>
      </c>
      <c r="I42" t="s">
        <v>248</v>
      </c>
      <c r="J42" s="11" t="s">
        <v>149</v>
      </c>
      <c r="K42" s="13">
        <f t="shared" si="3"/>
        <v>46.25</v>
      </c>
      <c r="L42" s="13">
        <v>46.25</v>
      </c>
      <c r="M42" s="13"/>
      <c r="N42" s="13"/>
      <c r="O42" s="13">
        <v>1101.18</v>
      </c>
      <c r="P42" s="13">
        <v>0</v>
      </c>
      <c r="Q42" s="13">
        <v>0</v>
      </c>
      <c r="R42" s="13">
        <v>0</v>
      </c>
      <c r="S42" s="13">
        <v>92.73</v>
      </c>
      <c r="T42" s="13">
        <v>0</v>
      </c>
      <c r="U42" s="13">
        <v>0</v>
      </c>
      <c r="V42" s="13">
        <v>0</v>
      </c>
    </row>
    <row r="43" spans="1:22">
      <c r="A43" t="s">
        <v>249</v>
      </c>
      <c r="B43">
        <v>2</v>
      </c>
      <c r="C43" t="s">
        <v>244</v>
      </c>
      <c r="D43">
        <v>1</v>
      </c>
      <c r="E43" t="s">
        <v>245</v>
      </c>
      <c r="F43">
        <v>1</v>
      </c>
      <c r="G43" t="s">
        <v>245</v>
      </c>
      <c r="H43" s="14" t="s">
        <v>900</v>
      </c>
      <c r="I43" t="s">
        <v>250</v>
      </c>
      <c r="J43" s="11" t="s">
        <v>149</v>
      </c>
      <c r="K43" s="13">
        <f t="shared" si="3"/>
        <v>145</v>
      </c>
      <c r="L43" s="13">
        <v>145</v>
      </c>
      <c r="M43" s="13"/>
      <c r="N43" s="13"/>
      <c r="O43" s="13">
        <v>2698.6</v>
      </c>
      <c r="P43" s="13">
        <v>0</v>
      </c>
      <c r="Q43" s="13">
        <v>0</v>
      </c>
      <c r="R43" s="13">
        <v>0</v>
      </c>
      <c r="S43" s="13">
        <v>267.77999999999997</v>
      </c>
      <c r="T43" s="13">
        <v>0</v>
      </c>
      <c r="U43" s="13">
        <v>0</v>
      </c>
      <c r="V43" s="13">
        <v>0</v>
      </c>
    </row>
    <row r="44" spans="1:22">
      <c r="A44" t="s">
        <v>251</v>
      </c>
      <c r="B44">
        <v>2</v>
      </c>
      <c r="C44" t="s">
        <v>244</v>
      </c>
      <c r="D44">
        <v>2</v>
      </c>
      <c r="E44" t="s">
        <v>252</v>
      </c>
      <c r="F44">
        <v>1</v>
      </c>
      <c r="G44" t="s">
        <v>253</v>
      </c>
      <c r="H44" s="14" t="s">
        <v>900</v>
      </c>
      <c r="I44" t="s">
        <v>254</v>
      </c>
      <c r="J44" s="11" t="s">
        <v>149</v>
      </c>
      <c r="K44" s="13">
        <f t="shared" si="3"/>
        <v>25</v>
      </c>
      <c r="L44" s="13">
        <v>25</v>
      </c>
      <c r="M44" s="13"/>
      <c r="N44" s="13"/>
      <c r="O44" s="13">
        <v>2621.98</v>
      </c>
      <c r="P44" s="13">
        <v>0</v>
      </c>
      <c r="Q44" s="13">
        <v>0</v>
      </c>
      <c r="R44" s="13">
        <v>0</v>
      </c>
      <c r="S44" s="13">
        <v>99.71</v>
      </c>
      <c r="T44" s="13">
        <v>0</v>
      </c>
      <c r="U44" s="13">
        <v>0</v>
      </c>
      <c r="V44" s="13">
        <v>0</v>
      </c>
    </row>
    <row r="45" spans="1:22">
      <c r="A45" t="s">
        <v>255</v>
      </c>
      <c r="B45">
        <v>2</v>
      </c>
      <c r="C45" t="s">
        <v>244</v>
      </c>
      <c r="D45">
        <v>3</v>
      </c>
      <c r="E45" t="s">
        <v>256</v>
      </c>
      <c r="F45">
        <v>1</v>
      </c>
      <c r="G45" t="s">
        <v>257</v>
      </c>
      <c r="H45" s="14" t="s">
        <v>900</v>
      </c>
      <c r="I45" t="s">
        <v>258</v>
      </c>
      <c r="J45" s="11" t="s">
        <v>149</v>
      </c>
      <c r="K45" s="13">
        <f t="shared" si="3"/>
        <v>32</v>
      </c>
      <c r="L45" s="13">
        <v>32</v>
      </c>
      <c r="M45" s="13"/>
      <c r="N45" s="13"/>
      <c r="O45" s="13">
        <v>3055.54</v>
      </c>
      <c r="P45" s="13">
        <v>0</v>
      </c>
      <c r="Q45" s="13">
        <v>0</v>
      </c>
      <c r="R45" s="13">
        <v>0</v>
      </c>
      <c r="S45" s="13">
        <v>116.99</v>
      </c>
      <c r="T45" s="13">
        <v>0</v>
      </c>
      <c r="U45" s="13">
        <v>0</v>
      </c>
      <c r="V45" s="13">
        <v>0</v>
      </c>
    </row>
    <row r="46" spans="1:22" ht="14.1" customHeight="1">
      <c r="A46" t="s">
        <v>259</v>
      </c>
      <c r="B46">
        <v>2</v>
      </c>
      <c r="C46" t="s">
        <v>244</v>
      </c>
      <c r="D46">
        <v>7</v>
      </c>
      <c r="E46" t="s">
        <v>260</v>
      </c>
      <c r="F46">
        <v>1</v>
      </c>
      <c r="G46" t="s">
        <v>260</v>
      </c>
      <c r="H46" s="14" t="s">
        <v>900</v>
      </c>
      <c r="I46" s="12" t="s">
        <v>261</v>
      </c>
      <c r="J46" s="11" t="s">
        <v>149</v>
      </c>
      <c r="K46" s="13">
        <f t="shared" si="3"/>
        <v>360</v>
      </c>
      <c r="L46" s="13">
        <v>360</v>
      </c>
      <c r="M46" s="13"/>
      <c r="N46" s="13"/>
      <c r="O46" s="13">
        <v>3350.59</v>
      </c>
      <c r="P46" s="13"/>
      <c r="Q46" s="13"/>
      <c r="R46" s="13"/>
      <c r="S46" s="13">
        <v>30.64</v>
      </c>
      <c r="T46" s="13"/>
      <c r="U46" s="13"/>
      <c r="V46" s="13"/>
    </row>
    <row r="47" spans="1:22">
      <c r="A47" t="s">
        <v>262</v>
      </c>
      <c r="B47">
        <v>2</v>
      </c>
      <c r="C47" t="s">
        <v>244</v>
      </c>
      <c r="D47">
        <v>20</v>
      </c>
      <c r="E47" t="s">
        <v>263</v>
      </c>
      <c r="F47">
        <v>1</v>
      </c>
      <c r="G47" t="s">
        <v>264</v>
      </c>
      <c r="H47" s="14" t="s">
        <v>900</v>
      </c>
      <c r="I47" t="s">
        <v>265</v>
      </c>
      <c r="J47" s="11" t="s">
        <v>149</v>
      </c>
      <c r="K47" s="13">
        <f t="shared" si="3"/>
        <v>115</v>
      </c>
      <c r="L47" s="13">
        <v>115</v>
      </c>
      <c r="M47" s="13"/>
      <c r="N47" s="13"/>
      <c r="O47" s="13">
        <v>2352.92</v>
      </c>
      <c r="P47" s="13">
        <v>0</v>
      </c>
      <c r="Q47" s="13">
        <v>0</v>
      </c>
      <c r="R47" s="13">
        <v>0</v>
      </c>
      <c r="S47" s="13">
        <v>248.54</v>
      </c>
      <c r="T47" s="13">
        <v>0</v>
      </c>
      <c r="U47" s="13">
        <v>0</v>
      </c>
      <c r="V47" s="13">
        <v>0</v>
      </c>
    </row>
    <row r="48" spans="1:22" ht="14.1" customHeight="1">
      <c r="A48" t="s">
        <v>266</v>
      </c>
      <c r="B48">
        <v>3</v>
      </c>
      <c r="C48" t="s">
        <v>267</v>
      </c>
      <c r="D48">
        <v>1</v>
      </c>
      <c r="E48" t="s">
        <v>268</v>
      </c>
      <c r="F48">
        <v>2</v>
      </c>
      <c r="G48" t="s">
        <v>269</v>
      </c>
      <c r="H48" s="14" t="s">
        <v>900</v>
      </c>
      <c r="I48" s="12" t="s">
        <v>270</v>
      </c>
      <c r="J48" s="11" t="s">
        <v>149</v>
      </c>
      <c r="K48" s="13">
        <f t="shared" si="3"/>
        <v>529</v>
      </c>
      <c r="L48" s="13">
        <v>529</v>
      </c>
      <c r="M48" s="13"/>
      <c r="N48" s="13"/>
      <c r="O48" s="13">
        <v>4054.58</v>
      </c>
      <c r="P48" s="13"/>
      <c r="Q48" s="13"/>
      <c r="R48" s="13"/>
      <c r="S48" s="13">
        <v>-486.43</v>
      </c>
      <c r="T48" s="13"/>
      <c r="U48" s="13"/>
      <c r="V48" s="13"/>
    </row>
    <row r="49" spans="1:22" ht="14.1" customHeight="1">
      <c r="A49" t="s">
        <v>271</v>
      </c>
      <c r="B49">
        <v>3</v>
      </c>
      <c r="C49" t="s">
        <v>267</v>
      </c>
      <c r="D49">
        <v>1</v>
      </c>
      <c r="E49" t="s">
        <v>268</v>
      </c>
      <c r="F49">
        <v>3</v>
      </c>
      <c r="G49" t="s">
        <v>272</v>
      </c>
      <c r="H49" s="14" t="s">
        <v>900</v>
      </c>
      <c r="I49" s="12" t="s">
        <v>273</v>
      </c>
      <c r="J49" s="11" t="s">
        <v>149</v>
      </c>
      <c r="K49" s="13">
        <f t="shared" si="3"/>
        <v>515.20000000000005</v>
      </c>
      <c r="L49" s="13">
        <v>515.20000000000005</v>
      </c>
      <c r="M49" s="13"/>
      <c r="N49" s="13"/>
      <c r="O49" s="13">
        <v>4789.92</v>
      </c>
      <c r="P49" s="13"/>
      <c r="Q49" s="13"/>
      <c r="R49" s="13"/>
      <c r="S49" s="13">
        <v>-450.95</v>
      </c>
      <c r="T49" s="13"/>
      <c r="U49" s="13"/>
      <c r="V49" s="13"/>
    </row>
    <row r="50" spans="1:22" ht="14.1" customHeight="1">
      <c r="A50" t="s">
        <v>274</v>
      </c>
      <c r="B50">
        <v>3</v>
      </c>
      <c r="C50" t="s">
        <v>267</v>
      </c>
      <c r="D50">
        <v>1</v>
      </c>
      <c r="E50" t="s">
        <v>268</v>
      </c>
      <c r="F50">
        <v>4</v>
      </c>
      <c r="G50" t="s">
        <v>275</v>
      </c>
      <c r="H50" s="14" t="s">
        <v>900</v>
      </c>
      <c r="I50" s="12" t="s">
        <v>276</v>
      </c>
      <c r="J50" s="11" t="s">
        <v>149</v>
      </c>
      <c r="K50" s="13">
        <f t="shared" si="3"/>
        <v>515.20000000000005</v>
      </c>
      <c r="L50" s="13">
        <v>515.20000000000005</v>
      </c>
      <c r="M50" s="13"/>
      <c r="N50" s="13"/>
      <c r="O50" s="13">
        <v>4929.46</v>
      </c>
      <c r="P50" s="13"/>
      <c r="Q50" s="13"/>
      <c r="R50" s="13"/>
      <c r="S50" s="13">
        <v>-448.87</v>
      </c>
      <c r="T50" s="13"/>
      <c r="U50" s="13"/>
      <c r="V50" s="13"/>
    </row>
    <row r="51" spans="1:22" ht="14.1" customHeight="1">
      <c r="A51" t="s">
        <v>277</v>
      </c>
      <c r="B51">
        <v>3</v>
      </c>
      <c r="C51" t="s">
        <v>267</v>
      </c>
      <c r="D51">
        <v>2</v>
      </c>
      <c r="E51" t="s">
        <v>278</v>
      </c>
      <c r="F51">
        <v>2</v>
      </c>
      <c r="G51" t="s">
        <v>279</v>
      </c>
      <c r="H51" s="14" t="s">
        <v>900</v>
      </c>
      <c r="I51" s="12" t="s">
        <v>280</v>
      </c>
      <c r="J51" s="11" t="s">
        <v>149</v>
      </c>
      <c r="K51" s="13">
        <f t="shared" si="3"/>
        <v>490.6</v>
      </c>
      <c r="L51" s="13">
        <v>490.6</v>
      </c>
      <c r="M51" s="13"/>
      <c r="N51" s="13"/>
      <c r="O51" s="13">
        <v>5139.5600000000004</v>
      </c>
      <c r="P51" s="13"/>
      <c r="Q51" s="13"/>
      <c r="R51" s="13"/>
      <c r="S51" s="13">
        <v>-553.97</v>
      </c>
      <c r="T51" s="13"/>
      <c r="U51" s="13"/>
      <c r="V51" s="13"/>
    </row>
    <row r="52" spans="1:22" ht="14.1" customHeight="1">
      <c r="A52" t="s">
        <v>281</v>
      </c>
      <c r="B52">
        <v>3</v>
      </c>
      <c r="C52" t="s">
        <v>267</v>
      </c>
      <c r="D52">
        <v>2</v>
      </c>
      <c r="E52" t="s">
        <v>278</v>
      </c>
      <c r="F52">
        <v>6</v>
      </c>
      <c r="G52" t="s">
        <v>282</v>
      </c>
      <c r="H52" s="14" t="s">
        <v>900</v>
      </c>
      <c r="I52" s="12" t="s">
        <v>283</v>
      </c>
      <c r="J52" s="11" t="s">
        <v>149</v>
      </c>
      <c r="K52" s="13">
        <f t="shared" si="3"/>
        <v>700</v>
      </c>
      <c r="L52" s="13">
        <v>700</v>
      </c>
      <c r="M52" s="13"/>
      <c r="N52" s="13"/>
      <c r="O52" s="13">
        <v>7392.62</v>
      </c>
      <c r="P52" s="13"/>
      <c r="Q52" s="13"/>
      <c r="R52" s="13"/>
      <c r="S52" s="13">
        <v>-645.01</v>
      </c>
      <c r="T52" s="13"/>
      <c r="U52" s="13"/>
      <c r="V52" s="13"/>
    </row>
    <row r="53" spans="1:22" ht="14.1" customHeight="1">
      <c r="A53" t="s">
        <v>284</v>
      </c>
      <c r="B53">
        <v>3</v>
      </c>
      <c r="C53" t="s">
        <v>267</v>
      </c>
      <c r="D53">
        <v>3</v>
      </c>
      <c r="E53" t="s">
        <v>285</v>
      </c>
      <c r="F53">
        <v>1</v>
      </c>
      <c r="G53" t="s">
        <v>286</v>
      </c>
      <c r="H53" s="14" t="s">
        <v>900</v>
      </c>
      <c r="I53" s="12" t="s">
        <v>287</v>
      </c>
      <c r="J53" s="11" t="s">
        <v>157</v>
      </c>
      <c r="K53" s="13">
        <f>M53</f>
        <v>7.09</v>
      </c>
      <c r="L53" s="13"/>
      <c r="M53" s="13">
        <v>7.09</v>
      </c>
      <c r="N53" s="13"/>
      <c r="O53" s="13">
        <v>258.39</v>
      </c>
      <c r="P53" s="13"/>
      <c r="Q53" s="13"/>
      <c r="R53" s="13"/>
      <c r="S53" s="13">
        <v>-1.02</v>
      </c>
      <c r="T53" s="13"/>
      <c r="U53" s="13"/>
      <c r="V53" s="13"/>
    </row>
    <row r="54" spans="1:22">
      <c r="A54" t="s">
        <v>288</v>
      </c>
      <c r="B54">
        <v>4</v>
      </c>
      <c r="C54" t="s">
        <v>289</v>
      </c>
      <c r="D54">
        <v>1</v>
      </c>
      <c r="E54" t="s">
        <v>290</v>
      </c>
      <c r="F54">
        <v>2</v>
      </c>
      <c r="G54" t="s">
        <v>291</v>
      </c>
      <c r="H54" s="14" t="s">
        <v>900</v>
      </c>
      <c r="I54" t="s">
        <v>292</v>
      </c>
      <c r="J54" s="11" t="s">
        <v>233</v>
      </c>
      <c r="K54" s="13">
        <v>1</v>
      </c>
      <c r="L54" s="13">
        <v>7850</v>
      </c>
      <c r="M54" s="13"/>
      <c r="N54" s="13"/>
      <c r="O54" s="13">
        <v>32.950000000000003</v>
      </c>
      <c r="P54" s="13">
        <v>0</v>
      </c>
      <c r="Q54" s="13">
        <v>0</v>
      </c>
      <c r="R54" s="13">
        <v>0</v>
      </c>
      <c r="S54" s="13">
        <v>2.67</v>
      </c>
      <c r="T54" s="13">
        <v>0</v>
      </c>
      <c r="U54" s="13">
        <v>0</v>
      </c>
      <c r="V54" s="13">
        <v>0</v>
      </c>
    </row>
    <row r="55" spans="1:22">
      <c r="A55" t="s">
        <v>293</v>
      </c>
      <c r="B55">
        <v>4</v>
      </c>
      <c r="C55" t="s">
        <v>289</v>
      </c>
      <c r="D55">
        <v>1</v>
      </c>
      <c r="E55" t="s">
        <v>290</v>
      </c>
      <c r="F55">
        <v>2</v>
      </c>
      <c r="G55" t="s">
        <v>291</v>
      </c>
      <c r="H55" s="14" t="s">
        <v>900</v>
      </c>
      <c r="I55" t="s">
        <v>294</v>
      </c>
      <c r="J55" s="11" t="s">
        <v>295</v>
      </c>
      <c r="K55" s="13">
        <f>L55</f>
        <v>7850</v>
      </c>
      <c r="L55" s="13">
        <v>7850</v>
      </c>
      <c r="M55" s="13"/>
      <c r="N55" s="13"/>
      <c r="O55" s="13">
        <v>26674.42</v>
      </c>
      <c r="P55" s="13">
        <v>0</v>
      </c>
      <c r="Q55" s="13">
        <v>0</v>
      </c>
      <c r="R55" s="13">
        <v>0</v>
      </c>
      <c r="S55" s="13">
        <v>2312.66</v>
      </c>
      <c r="T55" s="13">
        <v>0</v>
      </c>
      <c r="U55" s="13">
        <v>0</v>
      </c>
      <c r="V55" s="13">
        <v>0</v>
      </c>
    </row>
    <row r="56" spans="1:22" ht="14.1" customHeight="1">
      <c r="A56" t="s">
        <v>296</v>
      </c>
      <c r="B56">
        <v>4</v>
      </c>
      <c r="C56" t="s">
        <v>289</v>
      </c>
      <c r="D56">
        <v>1</v>
      </c>
      <c r="E56" t="s">
        <v>290</v>
      </c>
      <c r="F56">
        <v>3</v>
      </c>
      <c r="G56" t="s">
        <v>297</v>
      </c>
      <c r="H56" s="14" t="s">
        <v>900</v>
      </c>
      <c r="I56" s="12" t="s">
        <v>298</v>
      </c>
      <c r="J56" s="11" t="s">
        <v>295</v>
      </c>
      <c r="K56" s="13">
        <f>L56</f>
        <v>7850</v>
      </c>
      <c r="L56" s="13">
        <v>7850</v>
      </c>
      <c r="M56" s="13"/>
      <c r="N56" s="13"/>
      <c r="O56" s="13">
        <v>38307.83</v>
      </c>
      <c r="P56" s="13">
        <v>0</v>
      </c>
      <c r="Q56" s="13">
        <v>0</v>
      </c>
      <c r="R56" s="13">
        <v>0</v>
      </c>
      <c r="S56" s="13">
        <v>2380.64</v>
      </c>
      <c r="T56" s="13">
        <v>0</v>
      </c>
      <c r="U56" s="13">
        <v>0</v>
      </c>
      <c r="V56" s="13">
        <v>0</v>
      </c>
    </row>
    <row r="57" spans="1:22" ht="14.1" customHeight="1">
      <c r="A57" t="s">
        <v>299</v>
      </c>
      <c r="B57">
        <v>4</v>
      </c>
      <c r="C57" t="s">
        <v>289</v>
      </c>
      <c r="D57">
        <v>1</v>
      </c>
      <c r="E57" t="s">
        <v>290</v>
      </c>
      <c r="F57">
        <v>3</v>
      </c>
      <c r="G57" t="s">
        <v>297</v>
      </c>
      <c r="H57" s="14" t="s">
        <v>900</v>
      </c>
      <c r="I57" s="12" t="s">
        <v>300</v>
      </c>
      <c r="J57" s="11" t="s">
        <v>233</v>
      </c>
      <c r="K57" s="13">
        <v>1</v>
      </c>
      <c r="L57" s="13">
        <v>7850</v>
      </c>
      <c r="M57" s="13"/>
      <c r="N57" s="13"/>
      <c r="O57" s="13">
        <v>40.98</v>
      </c>
      <c r="P57" s="13">
        <v>0</v>
      </c>
      <c r="Q57" s="13">
        <v>0</v>
      </c>
      <c r="R57" s="13">
        <v>0</v>
      </c>
      <c r="S57" s="13">
        <v>4.29</v>
      </c>
      <c r="T57" s="13">
        <v>0</v>
      </c>
      <c r="U57" s="13">
        <v>0</v>
      </c>
      <c r="V57" s="13">
        <v>0</v>
      </c>
    </row>
    <row r="58" spans="1:22" ht="14.1" customHeight="1">
      <c r="A58" t="s">
        <v>301</v>
      </c>
      <c r="B58">
        <v>4</v>
      </c>
      <c r="C58" t="s">
        <v>289</v>
      </c>
      <c r="D58">
        <v>1</v>
      </c>
      <c r="E58" t="s">
        <v>290</v>
      </c>
      <c r="F58">
        <v>4</v>
      </c>
      <c r="G58" s="12" t="s">
        <v>302</v>
      </c>
      <c r="H58" s="14" t="s">
        <v>900</v>
      </c>
      <c r="I58" s="12" t="s">
        <v>303</v>
      </c>
      <c r="J58" s="11" t="s">
        <v>157</v>
      </c>
      <c r="K58" s="13">
        <f>M58</f>
        <v>5.72</v>
      </c>
      <c r="L58" s="13"/>
      <c r="M58" s="13">
        <v>5.72</v>
      </c>
      <c r="N58" s="13"/>
      <c r="O58" s="13">
        <v>231.41</v>
      </c>
      <c r="P58" s="13">
        <v>0</v>
      </c>
      <c r="Q58" s="13">
        <v>0</v>
      </c>
      <c r="R58" s="13">
        <v>0</v>
      </c>
      <c r="S58" s="13">
        <v>24.88</v>
      </c>
      <c r="T58" s="13">
        <v>0</v>
      </c>
      <c r="U58" s="13">
        <v>0</v>
      </c>
      <c r="V58" s="13">
        <v>0</v>
      </c>
    </row>
    <row r="59" spans="1:22" ht="14.1" customHeight="1">
      <c r="A59" t="s">
        <v>304</v>
      </c>
      <c r="B59">
        <v>4</v>
      </c>
      <c r="C59" t="s">
        <v>289</v>
      </c>
      <c r="D59">
        <v>1</v>
      </c>
      <c r="E59" t="s">
        <v>290</v>
      </c>
      <c r="F59">
        <v>5</v>
      </c>
      <c r="G59" t="s">
        <v>305</v>
      </c>
      <c r="H59" s="14" t="s">
        <v>900</v>
      </c>
      <c r="I59" s="12" t="s">
        <v>306</v>
      </c>
      <c r="J59" s="11" t="s">
        <v>233</v>
      </c>
      <c r="K59" s="13">
        <v>1</v>
      </c>
      <c r="L59" s="13"/>
      <c r="M59" s="13"/>
      <c r="N59" s="13"/>
      <c r="O59" s="13">
        <v>20.75</v>
      </c>
      <c r="P59" s="13">
        <v>0</v>
      </c>
      <c r="Q59" s="13">
        <v>0</v>
      </c>
      <c r="R59" s="13">
        <v>0</v>
      </c>
      <c r="S59" s="13">
        <v>2.2000000000000002</v>
      </c>
      <c r="T59" s="13">
        <v>0</v>
      </c>
      <c r="U59" s="13">
        <v>0</v>
      </c>
      <c r="V59" s="13">
        <v>0</v>
      </c>
    </row>
    <row r="60" spans="1:22" ht="14.1" customHeight="1">
      <c r="A60" t="s">
        <v>307</v>
      </c>
      <c r="B60">
        <v>5</v>
      </c>
      <c r="C60" t="s">
        <v>308</v>
      </c>
      <c r="D60">
        <v>1</v>
      </c>
      <c r="E60" t="s">
        <v>309</v>
      </c>
      <c r="F60">
        <v>1</v>
      </c>
      <c r="G60" t="s">
        <v>310</v>
      </c>
      <c r="H60" s="14" t="s">
        <v>900</v>
      </c>
      <c r="I60" s="12" t="s">
        <v>311</v>
      </c>
      <c r="J60" s="11" t="s">
        <v>233</v>
      </c>
      <c r="K60" s="13">
        <v>1</v>
      </c>
      <c r="L60" s="13"/>
      <c r="M60" s="13"/>
      <c r="N60" s="13"/>
      <c r="O60" s="13">
        <v>20.93</v>
      </c>
      <c r="P60" s="13">
        <v>0</v>
      </c>
      <c r="Q60" s="13">
        <v>0</v>
      </c>
      <c r="R60" s="13">
        <v>0</v>
      </c>
      <c r="S60" s="13">
        <v>1.0900000000000001</v>
      </c>
      <c r="T60" s="13">
        <v>0</v>
      </c>
      <c r="U60" s="13">
        <v>0</v>
      </c>
      <c r="V60" s="13">
        <v>0</v>
      </c>
    </row>
    <row r="61" spans="1:22" ht="14.1" customHeight="1">
      <c r="A61" t="s">
        <v>312</v>
      </c>
      <c r="B61">
        <v>5</v>
      </c>
      <c r="C61" t="s">
        <v>308</v>
      </c>
      <c r="D61">
        <v>1</v>
      </c>
      <c r="E61" t="s">
        <v>309</v>
      </c>
      <c r="F61">
        <v>1</v>
      </c>
      <c r="G61" t="s">
        <v>310</v>
      </c>
      <c r="H61" s="14" t="s">
        <v>900</v>
      </c>
      <c r="I61" s="12" t="s">
        <v>313</v>
      </c>
      <c r="J61" s="11" t="s">
        <v>233</v>
      </c>
      <c r="K61" s="13">
        <v>1</v>
      </c>
      <c r="L61" s="13"/>
      <c r="M61" s="13"/>
      <c r="N61" s="13"/>
      <c r="O61" s="13">
        <v>18.89</v>
      </c>
      <c r="P61" s="13">
        <v>0</v>
      </c>
      <c r="Q61" s="13">
        <v>0</v>
      </c>
      <c r="R61" s="13">
        <v>0</v>
      </c>
      <c r="S61" s="13">
        <v>1</v>
      </c>
      <c r="T61" s="13">
        <v>0</v>
      </c>
      <c r="U61" s="13">
        <v>0</v>
      </c>
      <c r="V61" s="13">
        <v>0</v>
      </c>
    </row>
    <row r="62" spans="1:22">
      <c r="A62" t="s">
        <v>314</v>
      </c>
      <c r="B62">
        <v>6</v>
      </c>
      <c r="C62" t="s">
        <v>315</v>
      </c>
      <c r="D62">
        <v>3</v>
      </c>
      <c r="E62" t="s">
        <v>316</v>
      </c>
      <c r="F62">
        <v>1</v>
      </c>
      <c r="G62" t="s">
        <v>317</v>
      </c>
      <c r="H62" s="14" t="s">
        <v>900</v>
      </c>
      <c r="I62" t="s">
        <v>318</v>
      </c>
      <c r="J62" s="11" t="s">
        <v>157</v>
      </c>
      <c r="K62" s="13">
        <f>M62</f>
        <v>5</v>
      </c>
      <c r="L62" s="13"/>
      <c r="M62" s="13">
        <v>5</v>
      </c>
      <c r="N62" s="13"/>
      <c r="O62" s="13">
        <v>221.16</v>
      </c>
      <c r="P62" s="13">
        <v>0</v>
      </c>
      <c r="Q62" s="13">
        <v>0</v>
      </c>
      <c r="R62" s="13">
        <v>0</v>
      </c>
      <c r="S62" s="13">
        <v>3.42</v>
      </c>
      <c r="T62" s="13">
        <v>0</v>
      </c>
      <c r="U62" s="13">
        <v>0</v>
      </c>
      <c r="V62" s="13">
        <v>0</v>
      </c>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IN</v>
      </c>
      <c r="I64" s="12" t="str">
        <f t="shared" ref="I64:I72" si="5">A64</f>
        <v>CONCRETE generic data for modelling with BoQ</v>
      </c>
      <c r="J64" s="14" t="str">
        <f>J33</f>
        <v>m³</v>
      </c>
      <c r="K64" s="15">
        <f>K33</f>
        <v>2306</v>
      </c>
      <c r="L64" s="15">
        <f>L33</f>
        <v>2306</v>
      </c>
      <c r="M64" s="15"/>
      <c r="N64" s="15"/>
      <c r="O64" s="15">
        <f>O33</f>
        <v>1270.7</v>
      </c>
      <c r="P64" s="15"/>
      <c r="Q64" s="15"/>
      <c r="R64" s="15"/>
      <c r="S64" s="15">
        <f>S33</f>
        <v>374.97</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IN</v>
      </c>
      <c r="I65" s="12" t="str">
        <f t="shared" si="5"/>
        <v>STEEL generic data for modelling with BoQ</v>
      </c>
      <c r="J65" s="14" t="str">
        <f>J56</f>
        <v>t</v>
      </c>
      <c r="K65" s="15">
        <f>K56</f>
        <v>7850</v>
      </c>
      <c r="L65" s="15">
        <f>L56</f>
        <v>7850</v>
      </c>
      <c r="M65" s="15"/>
      <c r="N65" s="15"/>
      <c r="O65" s="15">
        <f>O56</f>
        <v>38307.83</v>
      </c>
      <c r="P65" s="15"/>
      <c r="Q65" s="15"/>
      <c r="R65" s="15"/>
      <c r="S65" s="15">
        <f>S56</f>
        <v>2380.64</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IN</v>
      </c>
      <c r="I66" t="str">
        <f t="shared" si="5"/>
        <v>PLASTER generic data for modelling with BoQ</v>
      </c>
      <c r="J66" s="14" t="str">
        <f>J38</f>
        <v>m³</v>
      </c>
      <c r="K66" s="15">
        <f>K38</f>
        <v>900</v>
      </c>
      <c r="L66" s="15">
        <f>L38</f>
        <v>900</v>
      </c>
      <c r="M66" s="15"/>
      <c r="N66" s="15"/>
      <c r="O66" s="15">
        <f>O38</f>
        <v>2704.18</v>
      </c>
      <c r="P66" s="15"/>
      <c r="Q66" s="15"/>
      <c r="R66" s="15"/>
      <c r="S66" s="15">
        <f>S38</f>
        <v>288.60000000000002</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IN</v>
      </c>
      <c r="I67" t="str">
        <f t="shared" si="5"/>
        <v>CEMENT SCREED generic data for modelling with BoQ</v>
      </c>
      <c r="J67" s="14" t="str">
        <f>J36</f>
        <v>kg</v>
      </c>
      <c r="K67" s="15">
        <f>K36</f>
        <v>1</v>
      </c>
      <c r="L67" s="15">
        <f>L36</f>
        <v>2400</v>
      </c>
      <c r="M67" s="15"/>
      <c r="N67" s="15"/>
      <c r="O67" s="15">
        <f>O36</f>
        <v>1.74</v>
      </c>
      <c r="P67" s="15"/>
      <c r="Q67" s="15"/>
      <c r="R67" s="15"/>
      <c r="S67" s="15">
        <f>S36</f>
        <v>0.27</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IN</v>
      </c>
      <c r="I68" t="str">
        <f t="shared" si="5"/>
        <v>FLOOR FINISH generic data for modelling with BoQ</v>
      </c>
      <c r="J68" s="14" t="str">
        <f>J18</f>
        <v>m²</v>
      </c>
      <c r="K68" s="15">
        <f>K18</f>
        <v>52</v>
      </c>
      <c r="L68" s="15"/>
      <c r="M68" s="15">
        <f>M18</f>
        <v>52</v>
      </c>
      <c r="N68" s="15"/>
      <c r="O68" s="15">
        <f>O18</f>
        <v>313.13</v>
      </c>
      <c r="P68" s="15"/>
      <c r="Q68" s="15"/>
      <c r="R68" s="15"/>
      <c r="S68" s="15">
        <f>S18</f>
        <v>23.9</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IN</v>
      </c>
      <c r="I69" t="str">
        <f t="shared" si="5"/>
        <v>AAC BLOCK generic data for modelling with BoQ</v>
      </c>
      <c r="J69" s="14" t="str">
        <f>J8</f>
        <v>m³</v>
      </c>
      <c r="K69" s="15">
        <f>K8</f>
        <v>500</v>
      </c>
      <c r="L69" s="15">
        <f>L8</f>
        <v>500</v>
      </c>
      <c r="M69" s="15"/>
      <c r="N69" s="15"/>
      <c r="O69" s="15">
        <f>O8</f>
        <v>2013.94</v>
      </c>
      <c r="P69" s="15"/>
      <c r="Q69" s="15"/>
      <c r="R69" s="15"/>
      <c r="S69" s="15">
        <f>S8</f>
        <v>330.72</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IN</v>
      </c>
      <c r="I70" t="str">
        <f t="shared" si="5"/>
        <v>RED BRICK generic data for modelling with BoQ</v>
      </c>
      <c r="J70" s="14" t="str">
        <f>J3</f>
        <v>m³</v>
      </c>
      <c r="K70" s="15">
        <f>K3</f>
        <v>1800</v>
      </c>
      <c r="L70" s="15">
        <f>L3</f>
        <v>1800</v>
      </c>
      <c r="M70" s="15"/>
      <c r="N70" s="15"/>
      <c r="O70" s="15">
        <f>O3</f>
        <v>7144.9</v>
      </c>
      <c r="P70" s="15"/>
      <c r="Q70" s="15"/>
      <c r="R70" s="15"/>
      <c r="S70" s="15">
        <f>S3</f>
        <v>484.89</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IN</v>
      </c>
      <c r="I71" t="str">
        <f t="shared" si="5"/>
        <v>CONCRETE BRICK generic data for modelling with BoQ</v>
      </c>
      <c r="J71" s="14" t="str">
        <f>J15</f>
        <v>m³</v>
      </c>
      <c r="K71" s="15">
        <f>K15</f>
        <v>2000</v>
      </c>
      <c r="L71" s="15">
        <f>L15</f>
        <v>2000</v>
      </c>
      <c r="M71" s="15"/>
      <c r="N71" s="15"/>
      <c r="O71" s="15">
        <f>O15</f>
        <v>1644.22</v>
      </c>
      <c r="P71" s="15"/>
      <c r="Q71" s="15"/>
      <c r="R71" s="15"/>
      <c r="S71" s="15">
        <f>S15</f>
        <v>333.21</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IN</v>
      </c>
      <c r="I72" t="str">
        <f t="shared" si="5"/>
        <v>CONCRETE ROOF TILES generic data for modelling with BoQ</v>
      </c>
      <c r="J72" s="14" t="str">
        <f>J24</f>
        <v>m²</v>
      </c>
      <c r="K72" s="11">
        <f>K24</f>
        <v>42</v>
      </c>
      <c r="L72" s="11"/>
      <c r="M72" s="11">
        <f>M24</f>
        <v>42</v>
      </c>
      <c r="N72" s="15"/>
      <c r="O72" s="11">
        <f>O24</f>
        <v>140.91999999999999</v>
      </c>
      <c r="P72" s="15"/>
      <c r="Q72" s="15"/>
      <c r="R72" s="15"/>
      <c r="S72" s="11">
        <f>S24</f>
        <v>18.89</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customProperties>
    <customPr name="LastActive"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1">
    <pageSetUpPr fitToPage="1"/>
  </sheetPr>
  <dimension ref="A1:V79"/>
  <sheetViews>
    <sheetView workbookViewId="0"/>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901</v>
      </c>
      <c r="I2" t="s">
        <v>148</v>
      </c>
      <c r="J2" s="11" t="s">
        <v>149</v>
      </c>
      <c r="K2" s="13">
        <f>L2</f>
        <v>2000</v>
      </c>
      <c r="L2" s="13">
        <v>2000</v>
      </c>
      <c r="M2" s="13"/>
      <c r="N2" s="13"/>
      <c r="O2" s="13">
        <v>3202.46</v>
      </c>
      <c r="P2" s="13">
        <v>0</v>
      </c>
      <c r="Q2" s="13">
        <v>0</v>
      </c>
      <c r="R2" s="13">
        <v>0</v>
      </c>
      <c r="S2" s="13">
        <v>453.52</v>
      </c>
      <c r="T2" s="13">
        <v>0</v>
      </c>
      <c r="U2" s="13">
        <v>0</v>
      </c>
      <c r="V2" s="13">
        <v>0</v>
      </c>
    </row>
    <row r="3" spans="1:22">
      <c r="A3" t="s">
        <v>150</v>
      </c>
      <c r="B3">
        <v>1</v>
      </c>
      <c r="C3" t="s">
        <v>144</v>
      </c>
      <c r="D3">
        <v>3</v>
      </c>
      <c r="E3" t="s">
        <v>145</v>
      </c>
      <c r="F3">
        <v>2</v>
      </c>
      <c r="G3" t="s">
        <v>151</v>
      </c>
      <c r="H3" s="14" t="s">
        <v>901</v>
      </c>
      <c r="I3" t="s">
        <v>152</v>
      </c>
      <c r="J3" s="11" t="s">
        <v>149</v>
      </c>
      <c r="K3" s="13">
        <f>L3</f>
        <v>1800</v>
      </c>
      <c r="L3" s="13">
        <v>1800</v>
      </c>
      <c r="M3" s="13"/>
      <c r="N3" s="13"/>
      <c r="O3" s="13">
        <v>7696.78</v>
      </c>
      <c r="P3" s="13">
        <v>0</v>
      </c>
      <c r="Q3" s="13">
        <v>0</v>
      </c>
      <c r="R3" s="13">
        <v>0</v>
      </c>
      <c r="S3" s="13">
        <v>522.34</v>
      </c>
      <c r="T3" s="13">
        <v>0</v>
      </c>
      <c r="U3" s="13">
        <v>0</v>
      </c>
      <c r="V3" s="13">
        <v>0</v>
      </c>
    </row>
    <row r="4" spans="1:22">
      <c r="A4" t="s">
        <v>153</v>
      </c>
      <c r="B4">
        <v>1</v>
      </c>
      <c r="C4" t="s">
        <v>144</v>
      </c>
      <c r="D4">
        <v>3</v>
      </c>
      <c r="E4" t="s">
        <v>145</v>
      </c>
      <c r="F4">
        <v>2</v>
      </c>
      <c r="G4" t="s">
        <v>151</v>
      </c>
      <c r="H4" s="14" t="s">
        <v>901</v>
      </c>
      <c r="I4" t="s">
        <v>154</v>
      </c>
      <c r="J4" s="11" t="s">
        <v>149</v>
      </c>
      <c r="K4" s="13">
        <f>L4</f>
        <v>2000</v>
      </c>
      <c r="L4" s="13">
        <v>2000</v>
      </c>
      <c r="M4" s="13"/>
      <c r="N4" s="13"/>
      <c r="O4" s="13">
        <v>7851.08</v>
      </c>
      <c r="P4" s="13">
        <v>0</v>
      </c>
      <c r="Q4" s="13">
        <v>0</v>
      </c>
      <c r="R4" s="13">
        <v>0</v>
      </c>
      <c r="S4" s="13">
        <v>524.41</v>
      </c>
      <c r="T4" s="13">
        <v>0</v>
      </c>
      <c r="U4" s="13">
        <v>0</v>
      </c>
      <c r="V4" s="13">
        <v>0</v>
      </c>
    </row>
    <row r="5" spans="1:22">
      <c r="A5" t="s">
        <v>155</v>
      </c>
      <c r="B5">
        <v>1</v>
      </c>
      <c r="C5" t="s">
        <v>144</v>
      </c>
      <c r="D5">
        <v>3</v>
      </c>
      <c r="E5" t="s">
        <v>145</v>
      </c>
      <c r="F5">
        <v>2</v>
      </c>
      <c r="G5" t="s">
        <v>151</v>
      </c>
      <c r="H5" s="14" t="s">
        <v>901</v>
      </c>
      <c r="I5" t="s">
        <v>156</v>
      </c>
      <c r="J5" s="11" t="s">
        <v>157</v>
      </c>
      <c r="K5" s="13">
        <f>M5</f>
        <v>159</v>
      </c>
      <c r="L5" s="13">
        <v>1700</v>
      </c>
      <c r="M5" s="13">
        <v>159</v>
      </c>
      <c r="N5" s="13"/>
      <c r="O5" s="13">
        <v>409.25</v>
      </c>
      <c r="P5" s="13">
        <v>0</v>
      </c>
      <c r="Q5" s="13">
        <v>0</v>
      </c>
      <c r="R5" s="13">
        <v>0</v>
      </c>
      <c r="S5" s="13">
        <v>26.01</v>
      </c>
      <c r="T5" s="13">
        <v>0</v>
      </c>
      <c r="U5" s="13">
        <v>0</v>
      </c>
      <c r="V5" s="13">
        <v>0</v>
      </c>
    </row>
    <row r="6" spans="1:22">
      <c r="A6" t="s">
        <v>158</v>
      </c>
      <c r="B6">
        <v>1</v>
      </c>
      <c r="C6" t="s">
        <v>144</v>
      </c>
      <c r="D6">
        <v>3</v>
      </c>
      <c r="E6" t="s">
        <v>145</v>
      </c>
      <c r="F6">
        <v>3</v>
      </c>
      <c r="G6" s="19" t="s">
        <v>159</v>
      </c>
      <c r="H6" s="14" t="s">
        <v>901</v>
      </c>
      <c r="I6" t="s">
        <v>160</v>
      </c>
      <c r="J6" s="11" t="s">
        <v>149</v>
      </c>
      <c r="K6" s="13">
        <f t="shared" ref="K6:K15" si="0">L6</f>
        <v>380</v>
      </c>
      <c r="L6" s="13">
        <v>380</v>
      </c>
      <c r="M6" s="13"/>
      <c r="N6" s="13"/>
      <c r="O6" s="13">
        <v>1649.42</v>
      </c>
      <c r="P6" s="13">
        <v>0</v>
      </c>
      <c r="Q6" s="13">
        <v>0</v>
      </c>
      <c r="R6" s="13">
        <v>0</v>
      </c>
      <c r="S6" s="13">
        <v>269.95999999999998</v>
      </c>
      <c r="T6" s="13">
        <v>0</v>
      </c>
      <c r="U6" s="13">
        <v>0</v>
      </c>
      <c r="V6" s="13">
        <v>0</v>
      </c>
    </row>
    <row r="7" spans="1:22">
      <c r="A7" t="s">
        <v>161</v>
      </c>
      <c r="B7">
        <v>1</v>
      </c>
      <c r="C7" t="s">
        <v>144</v>
      </c>
      <c r="D7">
        <v>3</v>
      </c>
      <c r="E7" t="s">
        <v>145</v>
      </c>
      <c r="F7">
        <v>3</v>
      </c>
      <c r="G7" s="19" t="s">
        <v>159</v>
      </c>
      <c r="H7" s="14" t="s">
        <v>901</v>
      </c>
      <c r="I7" t="s">
        <v>162</v>
      </c>
      <c r="J7" s="11" t="s">
        <v>149</v>
      </c>
      <c r="K7" s="13">
        <f t="shared" si="0"/>
        <v>472</v>
      </c>
      <c r="L7" s="13">
        <v>472</v>
      </c>
      <c r="M7" s="13"/>
      <c r="N7" s="13"/>
      <c r="O7" s="13">
        <v>2446.56</v>
      </c>
      <c r="P7" s="13">
        <v>0</v>
      </c>
      <c r="Q7" s="13">
        <v>0</v>
      </c>
      <c r="R7" s="13">
        <v>0</v>
      </c>
      <c r="S7" s="13">
        <v>372.14</v>
      </c>
      <c r="T7" s="13">
        <v>0</v>
      </c>
      <c r="U7" s="13">
        <v>0</v>
      </c>
      <c r="V7" s="13">
        <v>0</v>
      </c>
    </row>
    <row r="8" spans="1:22">
      <c r="A8" t="s">
        <v>163</v>
      </c>
      <c r="B8">
        <v>1</v>
      </c>
      <c r="C8" t="s">
        <v>144</v>
      </c>
      <c r="D8">
        <v>3</v>
      </c>
      <c r="E8" t="s">
        <v>145</v>
      </c>
      <c r="F8">
        <v>3</v>
      </c>
      <c r="G8" s="19" t="s">
        <v>159</v>
      </c>
      <c r="H8" s="14" t="s">
        <v>901</v>
      </c>
      <c r="I8" t="s">
        <v>164</v>
      </c>
      <c r="J8" s="11" t="s">
        <v>149</v>
      </c>
      <c r="K8" s="13">
        <f t="shared" si="0"/>
        <v>500</v>
      </c>
      <c r="L8" s="13">
        <v>500</v>
      </c>
      <c r="M8" s="13"/>
      <c r="N8" s="13"/>
      <c r="O8" s="13">
        <v>1998.52</v>
      </c>
      <c r="P8" s="13">
        <v>0</v>
      </c>
      <c r="Q8" s="13">
        <v>0</v>
      </c>
      <c r="R8" s="13">
        <v>0</v>
      </c>
      <c r="S8" s="13">
        <v>328.19</v>
      </c>
      <c r="T8" s="13">
        <v>0</v>
      </c>
      <c r="U8" s="13">
        <v>0</v>
      </c>
      <c r="V8" s="13">
        <v>0</v>
      </c>
    </row>
    <row r="9" spans="1:22">
      <c r="A9" t="s">
        <v>165</v>
      </c>
      <c r="B9">
        <v>1</v>
      </c>
      <c r="C9" t="s">
        <v>144</v>
      </c>
      <c r="D9">
        <v>3</v>
      </c>
      <c r="E9" t="s">
        <v>145</v>
      </c>
      <c r="F9">
        <v>4</v>
      </c>
      <c r="G9" s="19" t="s">
        <v>166</v>
      </c>
      <c r="H9" s="14" t="s">
        <v>901</v>
      </c>
      <c r="I9" t="s">
        <v>167</v>
      </c>
      <c r="J9" s="11" t="s">
        <v>149</v>
      </c>
      <c r="K9" s="13">
        <f t="shared" si="0"/>
        <v>500</v>
      </c>
      <c r="L9" s="13">
        <v>500</v>
      </c>
      <c r="M9" s="13"/>
      <c r="N9" s="13"/>
      <c r="O9" s="13">
        <v>408.65</v>
      </c>
      <c r="P9" s="13">
        <v>0</v>
      </c>
      <c r="Q9" s="13">
        <v>0</v>
      </c>
      <c r="R9" s="13">
        <v>0</v>
      </c>
      <c r="S9" s="13">
        <v>64.36</v>
      </c>
      <c r="T9" s="13">
        <v>0</v>
      </c>
      <c r="U9" s="13">
        <v>0</v>
      </c>
      <c r="V9" s="13">
        <v>0</v>
      </c>
    </row>
    <row r="10" spans="1:22" ht="14.1" customHeight="1">
      <c r="A10" t="s">
        <v>168</v>
      </c>
      <c r="B10">
        <v>1</v>
      </c>
      <c r="C10" t="s">
        <v>144</v>
      </c>
      <c r="D10">
        <v>3</v>
      </c>
      <c r="E10" t="s">
        <v>145</v>
      </c>
      <c r="F10">
        <v>4</v>
      </c>
      <c r="G10" s="19" t="s">
        <v>166</v>
      </c>
      <c r="H10" s="14" t="s">
        <v>901</v>
      </c>
      <c r="I10" s="12" t="s">
        <v>169</v>
      </c>
      <c r="J10" s="11" t="s">
        <v>149</v>
      </c>
      <c r="K10" s="13">
        <f t="shared" si="0"/>
        <v>900</v>
      </c>
      <c r="L10" s="13">
        <v>900</v>
      </c>
      <c r="M10" s="13"/>
      <c r="N10" s="13"/>
      <c r="O10" s="13">
        <v>693.48</v>
      </c>
      <c r="P10" s="13">
        <v>0</v>
      </c>
      <c r="Q10" s="13">
        <v>0</v>
      </c>
      <c r="R10" s="13">
        <v>0</v>
      </c>
      <c r="S10" s="13">
        <v>113.58</v>
      </c>
      <c r="T10" s="13">
        <v>0</v>
      </c>
      <c r="U10" s="13">
        <v>0</v>
      </c>
      <c r="V10" s="13">
        <v>0</v>
      </c>
    </row>
    <row r="11" spans="1:22" ht="14.1" customHeight="1">
      <c r="A11" t="s">
        <v>170</v>
      </c>
      <c r="B11">
        <v>1</v>
      </c>
      <c r="C11" t="s">
        <v>144</v>
      </c>
      <c r="D11">
        <v>3</v>
      </c>
      <c r="E11" t="s">
        <v>145</v>
      </c>
      <c r="F11">
        <v>4</v>
      </c>
      <c r="G11" s="19" t="s">
        <v>166</v>
      </c>
      <c r="H11" s="14" t="s">
        <v>901</v>
      </c>
      <c r="I11" s="12" t="s">
        <v>171</v>
      </c>
      <c r="J11" s="11" t="s">
        <v>149</v>
      </c>
      <c r="K11" s="13">
        <f t="shared" si="0"/>
        <v>1601</v>
      </c>
      <c r="L11" s="13">
        <v>1601</v>
      </c>
      <c r="M11" s="13"/>
      <c r="N11" s="13"/>
      <c r="O11" s="13">
        <v>5569.85</v>
      </c>
      <c r="P11" s="13">
        <v>0</v>
      </c>
      <c r="Q11" s="13">
        <v>0</v>
      </c>
      <c r="R11" s="13">
        <v>0</v>
      </c>
      <c r="S11" s="13">
        <v>588.04</v>
      </c>
      <c r="T11" s="13">
        <v>0</v>
      </c>
      <c r="U11" s="13">
        <v>0</v>
      </c>
      <c r="V11" s="13">
        <v>0</v>
      </c>
    </row>
    <row r="12" spans="1:22" ht="14.1" customHeight="1">
      <c r="A12" t="s">
        <v>172</v>
      </c>
      <c r="B12">
        <v>1</v>
      </c>
      <c r="C12" t="s">
        <v>144</v>
      </c>
      <c r="D12">
        <v>3</v>
      </c>
      <c r="E12" t="s">
        <v>145</v>
      </c>
      <c r="F12">
        <v>4</v>
      </c>
      <c r="G12" s="19" t="s">
        <v>166</v>
      </c>
      <c r="H12" s="14" t="s">
        <v>901</v>
      </c>
      <c r="I12" s="12" t="s">
        <v>173</v>
      </c>
      <c r="J12" s="11" t="s">
        <v>149</v>
      </c>
      <c r="K12" s="13">
        <f t="shared" si="0"/>
        <v>501</v>
      </c>
      <c r="L12" s="13">
        <v>501</v>
      </c>
      <c r="M12" s="13"/>
      <c r="N12" s="13"/>
      <c r="O12" s="13">
        <v>2391.4499999999998</v>
      </c>
      <c r="P12" s="13">
        <v>0</v>
      </c>
      <c r="Q12" s="13">
        <v>0</v>
      </c>
      <c r="R12" s="13">
        <v>0</v>
      </c>
      <c r="S12" s="13">
        <v>266.72000000000003</v>
      </c>
      <c r="T12" s="13">
        <v>0</v>
      </c>
      <c r="U12" s="13">
        <v>0</v>
      </c>
      <c r="V12" s="13">
        <v>0</v>
      </c>
    </row>
    <row r="13" spans="1:22" ht="14.1" customHeight="1">
      <c r="A13" t="s">
        <v>174</v>
      </c>
      <c r="B13">
        <v>1</v>
      </c>
      <c r="C13" t="s">
        <v>144</v>
      </c>
      <c r="D13">
        <v>3</v>
      </c>
      <c r="E13" t="s">
        <v>145</v>
      </c>
      <c r="F13">
        <v>4</v>
      </c>
      <c r="G13" s="19" t="s">
        <v>166</v>
      </c>
      <c r="H13" s="14" t="s">
        <v>901</v>
      </c>
      <c r="I13" s="12" t="s">
        <v>175</v>
      </c>
      <c r="J13" s="11" t="s">
        <v>149</v>
      </c>
      <c r="K13" s="13">
        <f t="shared" si="0"/>
        <v>701</v>
      </c>
      <c r="L13" s="13">
        <v>701</v>
      </c>
      <c r="M13" s="13"/>
      <c r="N13" s="13"/>
      <c r="O13" s="13">
        <v>2944.4</v>
      </c>
      <c r="P13" s="13">
        <v>0</v>
      </c>
      <c r="Q13" s="13">
        <v>0</v>
      </c>
      <c r="R13" s="13">
        <v>0</v>
      </c>
      <c r="S13" s="13">
        <v>327.58999999999997</v>
      </c>
      <c r="T13" s="13">
        <v>0</v>
      </c>
      <c r="U13" s="13">
        <v>0</v>
      </c>
      <c r="V13" s="13">
        <v>0</v>
      </c>
    </row>
    <row r="14" spans="1:22" ht="14.1" customHeight="1">
      <c r="A14" t="s">
        <v>176</v>
      </c>
      <c r="B14">
        <v>1</v>
      </c>
      <c r="C14" t="s">
        <v>144</v>
      </c>
      <c r="D14">
        <v>3</v>
      </c>
      <c r="E14" t="s">
        <v>145</v>
      </c>
      <c r="F14">
        <v>4</v>
      </c>
      <c r="G14" s="19" t="s">
        <v>166</v>
      </c>
      <c r="H14" s="14" t="s">
        <v>901</v>
      </c>
      <c r="I14" s="12" t="s">
        <v>177</v>
      </c>
      <c r="J14" s="11" t="s">
        <v>149</v>
      </c>
      <c r="K14" s="13">
        <f t="shared" si="0"/>
        <v>1400</v>
      </c>
      <c r="L14" s="13">
        <v>1400</v>
      </c>
      <c r="M14" s="13"/>
      <c r="N14" s="13"/>
      <c r="O14" s="13">
        <v>2722.94</v>
      </c>
      <c r="P14" s="13">
        <v>0</v>
      </c>
      <c r="Q14" s="13">
        <v>0</v>
      </c>
      <c r="R14" s="13">
        <v>0</v>
      </c>
      <c r="S14" s="13">
        <v>497.23</v>
      </c>
      <c r="T14" s="13">
        <v>0</v>
      </c>
      <c r="U14" s="13">
        <v>0</v>
      </c>
      <c r="V14" s="13">
        <v>0</v>
      </c>
    </row>
    <row r="15" spans="1:22">
      <c r="A15" t="s">
        <v>178</v>
      </c>
      <c r="B15">
        <v>1</v>
      </c>
      <c r="C15" t="s">
        <v>144</v>
      </c>
      <c r="D15">
        <v>3</v>
      </c>
      <c r="E15" t="s">
        <v>145</v>
      </c>
      <c r="F15">
        <v>5</v>
      </c>
      <c r="G15" s="19" t="s">
        <v>179</v>
      </c>
      <c r="H15" s="14" t="s">
        <v>901</v>
      </c>
      <c r="I15" t="s">
        <v>180</v>
      </c>
      <c r="J15" s="11" t="s">
        <v>149</v>
      </c>
      <c r="K15" s="13">
        <f t="shared" si="0"/>
        <v>2000</v>
      </c>
      <c r="L15" s="13">
        <v>2000</v>
      </c>
      <c r="M15" s="13"/>
      <c r="N15" s="13"/>
      <c r="O15" s="13">
        <v>1573.87</v>
      </c>
      <c r="P15" s="13">
        <v>0</v>
      </c>
      <c r="Q15" s="13">
        <v>0</v>
      </c>
      <c r="R15" s="13">
        <v>0</v>
      </c>
      <c r="S15" s="13">
        <v>318.95</v>
      </c>
      <c r="T15" s="13">
        <v>0</v>
      </c>
      <c r="U15" s="13">
        <v>0</v>
      </c>
      <c r="V15" s="13">
        <v>0</v>
      </c>
    </row>
    <row r="16" spans="1:22">
      <c r="A16" t="s">
        <v>181</v>
      </c>
      <c r="B16">
        <v>1</v>
      </c>
      <c r="C16" t="s">
        <v>144</v>
      </c>
      <c r="D16">
        <v>3</v>
      </c>
      <c r="E16" t="s">
        <v>145</v>
      </c>
      <c r="F16">
        <v>5</v>
      </c>
      <c r="G16" s="19" t="s">
        <v>179</v>
      </c>
      <c r="H16" s="14" t="s">
        <v>901</v>
      </c>
      <c r="I16" t="s">
        <v>182</v>
      </c>
      <c r="J16" s="11" t="s">
        <v>157</v>
      </c>
      <c r="K16" s="13">
        <f t="shared" ref="K16:K24" si="1">M16</f>
        <v>504</v>
      </c>
      <c r="L16" s="13">
        <f>M16*5</f>
        <v>2520</v>
      </c>
      <c r="M16" s="13">
        <v>504</v>
      </c>
      <c r="N16" s="13"/>
      <c r="O16" s="13">
        <v>688.47</v>
      </c>
      <c r="P16" s="13">
        <v>0</v>
      </c>
      <c r="Q16" s="13">
        <v>0</v>
      </c>
      <c r="R16" s="13">
        <v>0</v>
      </c>
      <c r="S16" s="13">
        <v>118.49</v>
      </c>
      <c r="T16" s="13">
        <v>0</v>
      </c>
      <c r="U16" s="13">
        <v>0</v>
      </c>
      <c r="V16" s="13">
        <v>0</v>
      </c>
    </row>
    <row r="17" spans="1:22">
      <c r="A17" t="s">
        <v>183</v>
      </c>
      <c r="B17">
        <v>1</v>
      </c>
      <c r="C17" t="s">
        <v>144</v>
      </c>
      <c r="D17">
        <v>3</v>
      </c>
      <c r="E17" t="s">
        <v>145</v>
      </c>
      <c r="F17">
        <v>5</v>
      </c>
      <c r="G17" s="19" t="s">
        <v>179</v>
      </c>
      <c r="H17" s="14" t="s">
        <v>901</v>
      </c>
      <c r="I17" t="s">
        <v>184</v>
      </c>
      <c r="J17" s="11" t="s">
        <v>157</v>
      </c>
      <c r="K17" s="13">
        <f t="shared" si="1"/>
        <v>291.3</v>
      </c>
      <c r="L17" s="13">
        <f>M17/12*100</f>
        <v>2427.5</v>
      </c>
      <c r="M17" s="13">
        <v>291.3</v>
      </c>
      <c r="N17" s="13"/>
      <c r="O17" s="13">
        <v>265.61</v>
      </c>
      <c r="P17" s="13">
        <v>0</v>
      </c>
      <c r="Q17" s="13">
        <v>0</v>
      </c>
      <c r="R17" s="13">
        <v>0</v>
      </c>
      <c r="S17" s="13">
        <v>50.92</v>
      </c>
      <c r="T17" s="13">
        <v>0</v>
      </c>
      <c r="U17" s="13">
        <v>0</v>
      </c>
      <c r="V17" s="13">
        <v>0</v>
      </c>
    </row>
    <row r="18" spans="1:22" ht="14.1" customHeight="1">
      <c r="A18" t="s">
        <v>185</v>
      </c>
      <c r="B18">
        <v>1</v>
      </c>
      <c r="C18" t="s">
        <v>144</v>
      </c>
      <c r="D18">
        <v>3</v>
      </c>
      <c r="E18" t="s">
        <v>145</v>
      </c>
      <c r="F18">
        <v>8</v>
      </c>
      <c r="G18" t="s">
        <v>186</v>
      </c>
      <c r="H18" s="14" t="s">
        <v>901</v>
      </c>
      <c r="I18" s="12" t="s">
        <v>187</v>
      </c>
      <c r="J18" s="11" t="s">
        <v>157</v>
      </c>
      <c r="K18" s="13">
        <f t="shared" si="1"/>
        <v>52</v>
      </c>
      <c r="L18" s="13"/>
      <c r="M18" s="13">
        <v>52</v>
      </c>
      <c r="N18" s="13"/>
      <c r="O18" s="13">
        <v>323.41000000000003</v>
      </c>
      <c r="P18" s="13">
        <v>0</v>
      </c>
      <c r="Q18" s="13">
        <v>0</v>
      </c>
      <c r="R18" s="13">
        <v>0</v>
      </c>
      <c r="S18" s="13">
        <v>24.68</v>
      </c>
      <c r="T18" s="13">
        <v>0</v>
      </c>
      <c r="U18" s="13">
        <v>0</v>
      </c>
      <c r="V18" s="13">
        <v>0</v>
      </c>
    </row>
    <row r="19" spans="1:22" ht="14.1" customHeight="1">
      <c r="A19" t="s">
        <v>188</v>
      </c>
      <c r="B19">
        <v>1</v>
      </c>
      <c r="C19" t="s">
        <v>144</v>
      </c>
      <c r="D19">
        <v>3</v>
      </c>
      <c r="E19" t="s">
        <v>145</v>
      </c>
      <c r="F19">
        <v>8</v>
      </c>
      <c r="G19" t="s">
        <v>186</v>
      </c>
      <c r="H19" s="14" t="s">
        <v>901</v>
      </c>
      <c r="I19" s="12" t="s">
        <v>189</v>
      </c>
      <c r="J19" s="11" t="s">
        <v>157</v>
      </c>
      <c r="K19" s="13">
        <f t="shared" si="1"/>
        <v>78</v>
      </c>
      <c r="L19" s="13"/>
      <c r="M19" s="13">
        <v>78</v>
      </c>
      <c r="N19" s="13"/>
      <c r="O19" s="13">
        <v>641.08000000000004</v>
      </c>
      <c r="P19" s="13">
        <v>0</v>
      </c>
      <c r="Q19" s="13">
        <v>0</v>
      </c>
      <c r="R19" s="13">
        <v>0</v>
      </c>
      <c r="S19" s="13">
        <v>48.92</v>
      </c>
      <c r="T19" s="13">
        <v>0</v>
      </c>
      <c r="U19" s="13">
        <v>0</v>
      </c>
      <c r="V19" s="13">
        <v>0</v>
      </c>
    </row>
    <row r="20" spans="1:22" ht="14.1" customHeight="1">
      <c r="A20" t="s">
        <v>190</v>
      </c>
      <c r="B20">
        <v>1</v>
      </c>
      <c r="C20" t="s">
        <v>144</v>
      </c>
      <c r="D20">
        <v>3</v>
      </c>
      <c r="E20" t="s">
        <v>145</v>
      </c>
      <c r="F20">
        <v>8</v>
      </c>
      <c r="G20" t="s">
        <v>186</v>
      </c>
      <c r="H20" s="14" t="s">
        <v>901</v>
      </c>
      <c r="I20" s="12" t="s">
        <v>191</v>
      </c>
      <c r="J20" s="11" t="s">
        <v>157</v>
      </c>
      <c r="K20" s="13">
        <f t="shared" si="1"/>
        <v>52</v>
      </c>
      <c r="L20" s="13"/>
      <c r="M20" s="13">
        <v>52</v>
      </c>
      <c r="N20" s="13"/>
      <c r="O20" s="13">
        <v>625.99</v>
      </c>
      <c r="P20" s="13">
        <v>0</v>
      </c>
      <c r="Q20" s="13">
        <v>0</v>
      </c>
      <c r="R20" s="13">
        <v>0</v>
      </c>
      <c r="S20" s="13">
        <v>47.77</v>
      </c>
      <c r="T20" s="13">
        <v>0</v>
      </c>
      <c r="U20" s="13">
        <v>0</v>
      </c>
      <c r="V20" s="13">
        <v>0</v>
      </c>
    </row>
    <row r="21" spans="1:22" ht="14.1" customHeight="1">
      <c r="A21" t="s">
        <v>192</v>
      </c>
      <c r="B21">
        <v>1</v>
      </c>
      <c r="C21" t="s">
        <v>144</v>
      </c>
      <c r="D21">
        <v>3</v>
      </c>
      <c r="E21" t="s">
        <v>145</v>
      </c>
      <c r="F21">
        <v>8</v>
      </c>
      <c r="G21" t="s">
        <v>186</v>
      </c>
      <c r="H21" s="14" t="s">
        <v>901</v>
      </c>
      <c r="I21" s="12" t="s">
        <v>193</v>
      </c>
      <c r="J21" s="11" t="s">
        <v>157</v>
      </c>
      <c r="K21" s="13">
        <f t="shared" si="1"/>
        <v>104</v>
      </c>
      <c r="L21" s="13"/>
      <c r="M21" s="13">
        <v>104</v>
      </c>
      <c r="N21" s="13"/>
      <c r="O21" s="13">
        <v>326.69</v>
      </c>
      <c r="P21" s="13">
        <v>0</v>
      </c>
      <c r="Q21" s="13">
        <v>0</v>
      </c>
      <c r="R21" s="13">
        <v>0</v>
      </c>
      <c r="S21" s="13">
        <v>24.91</v>
      </c>
      <c r="T21" s="13">
        <v>0</v>
      </c>
      <c r="U21" s="13">
        <v>0</v>
      </c>
      <c r="V21" s="13">
        <v>0</v>
      </c>
    </row>
    <row r="22" spans="1:22" ht="14.1" customHeight="1">
      <c r="A22" t="s">
        <v>194</v>
      </c>
      <c r="B22">
        <v>1</v>
      </c>
      <c r="C22" t="s">
        <v>144</v>
      </c>
      <c r="D22">
        <v>3</v>
      </c>
      <c r="E22" t="s">
        <v>145</v>
      </c>
      <c r="F22">
        <v>8</v>
      </c>
      <c r="G22" t="s">
        <v>186</v>
      </c>
      <c r="H22" s="14" t="s">
        <v>901</v>
      </c>
      <c r="I22" s="12" t="s">
        <v>195</v>
      </c>
      <c r="J22" s="11" t="s">
        <v>157</v>
      </c>
      <c r="K22" s="13">
        <f t="shared" si="1"/>
        <v>52</v>
      </c>
      <c r="L22" s="13"/>
      <c r="M22" s="13">
        <v>52</v>
      </c>
      <c r="N22" s="13"/>
      <c r="O22" s="13">
        <v>296.51</v>
      </c>
      <c r="P22" s="13">
        <v>0</v>
      </c>
      <c r="Q22" s="13">
        <v>0</v>
      </c>
      <c r="R22" s="13">
        <v>0</v>
      </c>
      <c r="S22" s="13">
        <v>22.63</v>
      </c>
      <c r="T22" s="13">
        <v>0</v>
      </c>
      <c r="U22" s="13">
        <v>0</v>
      </c>
      <c r="V22" s="13">
        <v>0</v>
      </c>
    </row>
    <row r="23" spans="1:22">
      <c r="A23" t="s">
        <v>196</v>
      </c>
      <c r="B23">
        <v>1</v>
      </c>
      <c r="C23" t="s">
        <v>144</v>
      </c>
      <c r="D23">
        <v>3</v>
      </c>
      <c r="E23" t="s">
        <v>145</v>
      </c>
      <c r="F23">
        <v>10</v>
      </c>
      <c r="G23" t="s">
        <v>197</v>
      </c>
      <c r="H23" s="14" t="s">
        <v>901</v>
      </c>
      <c r="I23" t="s">
        <v>198</v>
      </c>
      <c r="J23" s="11" t="s">
        <v>157</v>
      </c>
      <c r="K23" s="13">
        <f t="shared" si="1"/>
        <v>45</v>
      </c>
      <c r="L23" s="13"/>
      <c r="M23" s="13">
        <v>45</v>
      </c>
      <c r="N23" s="13"/>
      <c r="O23" s="13">
        <v>233.79</v>
      </c>
      <c r="P23" s="13">
        <v>0</v>
      </c>
      <c r="Q23" s="13">
        <v>0</v>
      </c>
      <c r="R23" s="13">
        <v>0</v>
      </c>
      <c r="S23" s="13">
        <v>15.61</v>
      </c>
      <c r="T23" s="13">
        <v>0</v>
      </c>
      <c r="U23" s="13">
        <v>0</v>
      </c>
      <c r="V23" s="13">
        <v>0</v>
      </c>
    </row>
    <row r="24" spans="1:22">
      <c r="A24" t="s">
        <v>199</v>
      </c>
      <c r="B24">
        <v>1</v>
      </c>
      <c r="C24" t="s">
        <v>144</v>
      </c>
      <c r="D24">
        <v>3</v>
      </c>
      <c r="E24" t="s">
        <v>145</v>
      </c>
      <c r="F24">
        <v>11</v>
      </c>
      <c r="G24" s="19" t="s">
        <v>200</v>
      </c>
      <c r="H24" s="14" t="s">
        <v>901</v>
      </c>
      <c r="I24" t="s">
        <v>201</v>
      </c>
      <c r="J24" s="11" t="s">
        <v>157</v>
      </c>
      <c r="K24" s="13">
        <f t="shared" si="1"/>
        <v>42</v>
      </c>
      <c r="L24" s="13"/>
      <c r="M24" s="13">
        <v>42</v>
      </c>
      <c r="N24" s="13"/>
      <c r="O24" s="13">
        <v>134.88999999999999</v>
      </c>
      <c r="P24" s="13">
        <v>0</v>
      </c>
      <c r="Q24" s="13">
        <v>0</v>
      </c>
      <c r="R24" s="13">
        <v>0</v>
      </c>
      <c r="S24" s="13">
        <v>18.079999999999998</v>
      </c>
      <c r="T24" s="13">
        <v>0</v>
      </c>
      <c r="U24" s="13">
        <v>0</v>
      </c>
      <c r="V24" s="13">
        <v>0</v>
      </c>
    </row>
    <row r="25" spans="1:22" ht="14.1" customHeight="1">
      <c r="A25" t="s">
        <v>202</v>
      </c>
      <c r="B25">
        <v>1</v>
      </c>
      <c r="C25" t="s">
        <v>144</v>
      </c>
      <c r="D25">
        <v>3</v>
      </c>
      <c r="E25" t="s">
        <v>145</v>
      </c>
      <c r="F25">
        <v>12</v>
      </c>
      <c r="G25" s="19" t="s">
        <v>203</v>
      </c>
      <c r="H25" s="14" t="s">
        <v>901</v>
      </c>
      <c r="I25" s="12" t="s">
        <v>204</v>
      </c>
      <c r="J25" s="11" t="s">
        <v>157</v>
      </c>
      <c r="K25" s="13"/>
      <c r="L25" s="13">
        <v>1300</v>
      </c>
      <c r="M25" s="13"/>
      <c r="N25" s="13"/>
      <c r="O25" s="13">
        <v>107.69</v>
      </c>
      <c r="P25" s="13">
        <v>0</v>
      </c>
      <c r="Q25" s="13">
        <v>0</v>
      </c>
      <c r="R25" s="13">
        <v>0</v>
      </c>
      <c r="S25" s="13">
        <v>10.19</v>
      </c>
      <c r="T25" s="13">
        <v>0</v>
      </c>
      <c r="U25" s="13">
        <v>0</v>
      </c>
      <c r="V25" s="13">
        <v>0</v>
      </c>
    </row>
    <row r="26" spans="1:22" ht="14.1" customHeight="1">
      <c r="A26" t="s">
        <v>205</v>
      </c>
      <c r="B26">
        <v>1</v>
      </c>
      <c r="C26" t="s">
        <v>144</v>
      </c>
      <c r="D26">
        <v>3</v>
      </c>
      <c r="E26" t="s">
        <v>145</v>
      </c>
      <c r="F26">
        <v>13</v>
      </c>
      <c r="G26" t="s">
        <v>206</v>
      </c>
      <c r="H26" s="14" t="s">
        <v>901</v>
      </c>
      <c r="I26" s="12" t="s">
        <v>207</v>
      </c>
      <c r="J26" s="11" t="s">
        <v>157</v>
      </c>
      <c r="K26" s="13">
        <v>10</v>
      </c>
      <c r="L26" s="13"/>
      <c r="M26" s="13">
        <v>10</v>
      </c>
      <c r="N26" s="13"/>
      <c r="O26" s="13">
        <v>49</v>
      </c>
      <c r="P26" s="13">
        <v>0</v>
      </c>
      <c r="Q26" s="13">
        <v>0</v>
      </c>
      <c r="R26" s="13">
        <v>0</v>
      </c>
      <c r="S26" s="13">
        <v>2.4900000000000002</v>
      </c>
      <c r="T26" s="13">
        <v>0</v>
      </c>
      <c r="U26" s="13">
        <v>0</v>
      </c>
      <c r="V26" s="13">
        <v>0</v>
      </c>
    </row>
    <row r="27" spans="1:22" ht="14.1" customHeight="1">
      <c r="A27" t="s">
        <v>208</v>
      </c>
      <c r="B27">
        <v>1</v>
      </c>
      <c r="C27" t="s">
        <v>144</v>
      </c>
      <c r="D27">
        <v>3</v>
      </c>
      <c r="E27" t="s">
        <v>145</v>
      </c>
      <c r="F27">
        <v>13</v>
      </c>
      <c r="G27" t="s">
        <v>206</v>
      </c>
      <c r="H27" s="14" t="s">
        <v>901</v>
      </c>
      <c r="I27" s="12" t="s">
        <v>209</v>
      </c>
      <c r="J27" s="11" t="s">
        <v>157</v>
      </c>
      <c r="K27" s="13">
        <v>10</v>
      </c>
      <c r="L27" s="13"/>
      <c r="M27" s="13">
        <v>10</v>
      </c>
      <c r="N27" s="13"/>
      <c r="O27" s="13">
        <v>51.26</v>
      </c>
      <c r="P27" s="13">
        <v>0</v>
      </c>
      <c r="Q27" s="13">
        <v>0</v>
      </c>
      <c r="R27" s="13">
        <v>0</v>
      </c>
      <c r="S27" s="13">
        <v>2.64</v>
      </c>
      <c r="T27" s="13">
        <v>0</v>
      </c>
      <c r="U27" s="13">
        <v>0</v>
      </c>
      <c r="V27" s="13">
        <v>0</v>
      </c>
    </row>
    <row r="28" spans="1:22" ht="14.1" customHeight="1">
      <c r="A28" t="s">
        <v>210</v>
      </c>
      <c r="B28">
        <v>1</v>
      </c>
      <c r="C28" t="s">
        <v>144</v>
      </c>
      <c r="D28">
        <v>3</v>
      </c>
      <c r="E28" t="s">
        <v>145</v>
      </c>
      <c r="F28">
        <v>13</v>
      </c>
      <c r="G28" t="s">
        <v>206</v>
      </c>
      <c r="H28" s="14" t="s">
        <v>901</v>
      </c>
      <c r="I28" s="12" t="s">
        <v>211</v>
      </c>
      <c r="J28" s="11" t="s">
        <v>157</v>
      </c>
      <c r="K28" s="13">
        <v>10</v>
      </c>
      <c r="L28" s="13"/>
      <c r="M28" s="13">
        <v>10</v>
      </c>
      <c r="N28" s="13"/>
      <c r="O28" s="13">
        <v>70.45</v>
      </c>
      <c r="P28" s="13">
        <v>0</v>
      </c>
      <c r="Q28" s="13">
        <v>0</v>
      </c>
      <c r="R28" s="13">
        <v>0</v>
      </c>
      <c r="S28" s="13">
        <v>4.74</v>
      </c>
      <c r="T28" s="13">
        <v>0</v>
      </c>
      <c r="U28" s="13">
        <v>0</v>
      </c>
      <c r="V28" s="13">
        <v>0</v>
      </c>
    </row>
    <row r="29" spans="1:22" ht="14.1" customHeight="1">
      <c r="A29" t="s">
        <v>212</v>
      </c>
      <c r="B29">
        <v>1</v>
      </c>
      <c r="C29" t="s">
        <v>144</v>
      </c>
      <c r="D29">
        <v>3</v>
      </c>
      <c r="E29" t="s">
        <v>145</v>
      </c>
      <c r="F29">
        <v>17</v>
      </c>
      <c r="G29" t="s">
        <v>213</v>
      </c>
      <c r="H29" s="14" t="s">
        <v>901</v>
      </c>
      <c r="I29" s="12" t="s">
        <v>214</v>
      </c>
      <c r="J29" s="11" t="s">
        <v>149</v>
      </c>
      <c r="K29" s="13">
        <f t="shared" ref="K29:K35" si="2">L29</f>
        <v>1200</v>
      </c>
      <c r="L29" s="13">
        <v>1200</v>
      </c>
      <c r="M29" s="13"/>
      <c r="N29" s="13"/>
      <c r="O29" s="13">
        <v>163.81</v>
      </c>
      <c r="P29" s="13">
        <v>0</v>
      </c>
      <c r="Q29" s="13">
        <v>0</v>
      </c>
      <c r="R29" s="13">
        <v>0</v>
      </c>
      <c r="S29" s="13">
        <v>143.22999999999999</v>
      </c>
      <c r="T29" s="13">
        <v>0</v>
      </c>
      <c r="U29" s="13">
        <v>0</v>
      </c>
      <c r="V29" s="13">
        <v>0</v>
      </c>
    </row>
    <row r="30" spans="1:22" ht="14.1" customHeight="1">
      <c r="A30" t="s">
        <v>215</v>
      </c>
      <c r="B30">
        <v>1</v>
      </c>
      <c r="C30" t="s">
        <v>144</v>
      </c>
      <c r="D30">
        <v>3</v>
      </c>
      <c r="E30" t="s">
        <v>145</v>
      </c>
      <c r="F30">
        <v>17</v>
      </c>
      <c r="G30" t="s">
        <v>213</v>
      </c>
      <c r="H30" s="14" t="s">
        <v>901</v>
      </c>
      <c r="I30" s="12" t="s">
        <v>216</v>
      </c>
      <c r="J30" s="11" t="s">
        <v>149</v>
      </c>
      <c r="K30" s="13">
        <f t="shared" si="2"/>
        <v>2000</v>
      </c>
      <c r="L30" s="13">
        <v>2000</v>
      </c>
      <c r="M30" s="13"/>
      <c r="N30" s="13"/>
      <c r="O30" s="13">
        <v>181.77</v>
      </c>
      <c r="P30" s="13">
        <v>0</v>
      </c>
      <c r="Q30" s="13">
        <v>0</v>
      </c>
      <c r="R30" s="13">
        <v>0</v>
      </c>
      <c r="S30" s="13">
        <v>14.54</v>
      </c>
      <c r="T30" s="13">
        <v>0</v>
      </c>
      <c r="U30" s="13">
        <v>0</v>
      </c>
      <c r="V30" s="13">
        <v>0</v>
      </c>
    </row>
    <row r="31" spans="1:22">
      <c r="A31" t="s">
        <v>217</v>
      </c>
      <c r="B31">
        <v>1</v>
      </c>
      <c r="C31" t="s">
        <v>144</v>
      </c>
      <c r="D31">
        <v>4</v>
      </c>
      <c r="E31" t="s">
        <v>218</v>
      </c>
      <c r="F31">
        <v>1</v>
      </c>
      <c r="G31" s="19" t="s">
        <v>219</v>
      </c>
      <c r="H31" s="14" t="s">
        <v>901</v>
      </c>
      <c r="I31" t="s">
        <v>220</v>
      </c>
      <c r="J31" s="11" t="s">
        <v>149</v>
      </c>
      <c r="K31" s="13">
        <f t="shared" si="2"/>
        <v>2297</v>
      </c>
      <c r="L31" s="13">
        <v>2297</v>
      </c>
      <c r="M31" s="13"/>
      <c r="N31" s="13"/>
      <c r="O31" s="13">
        <v>974.83</v>
      </c>
      <c r="P31" s="13">
        <v>0</v>
      </c>
      <c r="Q31" s="13">
        <v>0</v>
      </c>
      <c r="R31" s="13">
        <v>0</v>
      </c>
      <c r="S31" s="13">
        <v>278.7</v>
      </c>
      <c r="T31" s="13">
        <v>0</v>
      </c>
      <c r="U31" s="13">
        <v>0</v>
      </c>
      <c r="V31" s="13">
        <v>0</v>
      </c>
    </row>
    <row r="32" spans="1:22" ht="14.1" customHeight="1">
      <c r="A32" t="s">
        <v>221</v>
      </c>
      <c r="B32">
        <v>1</v>
      </c>
      <c r="C32" t="s">
        <v>144</v>
      </c>
      <c r="D32">
        <v>4</v>
      </c>
      <c r="E32" t="s">
        <v>218</v>
      </c>
      <c r="F32">
        <v>1</v>
      </c>
      <c r="G32" s="19" t="s">
        <v>219</v>
      </c>
      <c r="H32" s="14" t="s">
        <v>901</v>
      </c>
      <c r="I32" s="12" t="s">
        <v>222</v>
      </c>
      <c r="J32" s="11" t="s">
        <v>149</v>
      </c>
      <c r="K32" s="13">
        <f t="shared" si="2"/>
        <v>2300</v>
      </c>
      <c r="L32" s="13">
        <v>2300</v>
      </c>
      <c r="M32" s="13"/>
      <c r="N32" s="13"/>
      <c r="O32" s="13">
        <v>1065.08</v>
      </c>
      <c r="P32" s="13">
        <v>0</v>
      </c>
      <c r="Q32" s="13">
        <v>0</v>
      </c>
      <c r="R32" s="13">
        <v>0</v>
      </c>
      <c r="S32" s="13">
        <v>308.79000000000002</v>
      </c>
      <c r="T32" s="13">
        <v>0</v>
      </c>
      <c r="U32" s="13">
        <v>0</v>
      </c>
      <c r="V32" s="13">
        <v>0</v>
      </c>
    </row>
    <row r="33" spans="1:22">
      <c r="A33" t="s">
        <v>223</v>
      </c>
      <c r="B33">
        <v>1</v>
      </c>
      <c r="C33" t="s">
        <v>144</v>
      </c>
      <c r="D33">
        <v>4</v>
      </c>
      <c r="E33" t="s">
        <v>218</v>
      </c>
      <c r="F33">
        <v>1</v>
      </c>
      <c r="G33" s="19" t="s">
        <v>219</v>
      </c>
      <c r="H33" s="14" t="s">
        <v>901</v>
      </c>
      <c r="I33" t="s">
        <v>224</v>
      </c>
      <c r="J33" s="11" t="s">
        <v>149</v>
      </c>
      <c r="K33" s="13">
        <f t="shared" si="2"/>
        <v>2306</v>
      </c>
      <c r="L33" s="13">
        <v>2306</v>
      </c>
      <c r="M33" s="13"/>
      <c r="N33" s="13"/>
      <c r="O33" s="13">
        <v>1216.3399999999999</v>
      </c>
      <c r="P33" s="13">
        <v>0</v>
      </c>
      <c r="Q33" s="13">
        <v>0</v>
      </c>
      <c r="R33" s="13">
        <v>0</v>
      </c>
      <c r="S33" s="13">
        <v>358.93</v>
      </c>
      <c r="T33" s="13">
        <v>0</v>
      </c>
      <c r="U33" s="13">
        <v>0</v>
      </c>
      <c r="V33" s="13">
        <v>0</v>
      </c>
    </row>
    <row r="34" spans="1:22">
      <c r="A34" t="s">
        <v>225</v>
      </c>
      <c r="B34">
        <v>1</v>
      </c>
      <c r="C34" t="s">
        <v>144</v>
      </c>
      <c r="D34">
        <v>4</v>
      </c>
      <c r="E34" t="s">
        <v>218</v>
      </c>
      <c r="F34">
        <v>1</v>
      </c>
      <c r="G34" s="19" t="s">
        <v>219</v>
      </c>
      <c r="H34" s="14" t="s">
        <v>901</v>
      </c>
      <c r="I34" t="s">
        <v>226</v>
      </c>
      <c r="J34" s="11" t="s">
        <v>149</v>
      </c>
      <c r="K34" s="13">
        <f t="shared" si="2"/>
        <v>2316.6</v>
      </c>
      <c r="L34" s="13">
        <v>2316.6</v>
      </c>
      <c r="M34" s="13"/>
      <c r="N34" s="13"/>
      <c r="O34" s="13">
        <v>1498.66</v>
      </c>
      <c r="P34" s="13">
        <v>0</v>
      </c>
      <c r="Q34" s="13">
        <v>0</v>
      </c>
      <c r="R34" s="13">
        <v>0</v>
      </c>
      <c r="S34" s="13">
        <v>453.22</v>
      </c>
      <c r="T34" s="13">
        <v>0</v>
      </c>
      <c r="U34" s="13">
        <v>0</v>
      </c>
      <c r="V34" s="13">
        <v>0</v>
      </c>
    </row>
    <row r="35" spans="1:22" ht="14.1" customHeight="1">
      <c r="A35" t="s">
        <v>227</v>
      </c>
      <c r="B35">
        <v>1</v>
      </c>
      <c r="C35" t="s">
        <v>144</v>
      </c>
      <c r="D35">
        <v>4</v>
      </c>
      <c r="E35" t="s">
        <v>218</v>
      </c>
      <c r="F35">
        <v>2</v>
      </c>
      <c r="G35" s="19" t="s">
        <v>228</v>
      </c>
      <c r="H35" s="14" t="s">
        <v>901</v>
      </c>
      <c r="I35" s="12" t="s">
        <v>229</v>
      </c>
      <c r="J35" s="11" t="s">
        <v>149</v>
      </c>
      <c r="K35" s="13">
        <f t="shared" si="2"/>
        <v>2000</v>
      </c>
      <c r="L35" s="13">
        <v>2000</v>
      </c>
      <c r="M35" s="13"/>
      <c r="N35" s="13"/>
      <c r="O35" s="13">
        <v>1552.98</v>
      </c>
      <c r="P35" s="13">
        <v>0</v>
      </c>
      <c r="Q35" s="13">
        <v>0</v>
      </c>
      <c r="R35" s="13">
        <v>0</v>
      </c>
      <c r="S35" s="13">
        <v>438.32</v>
      </c>
      <c r="T35" s="13">
        <v>0</v>
      </c>
      <c r="U35" s="13">
        <v>0</v>
      </c>
      <c r="V35" s="13">
        <v>0</v>
      </c>
    </row>
    <row r="36" spans="1:22" ht="14.1" customHeight="1">
      <c r="A36" t="s">
        <v>230</v>
      </c>
      <c r="B36">
        <v>1</v>
      </c>
      <c r="C36" t="s">
        <v>144</v>
      </c>
      <c r="D36">
        <v>4</v>
      </c>
      <c r="E36" t="s">
        <v>218</v>
      </c>
      <c r="F36">
        <v>3</v>
      </c>
      <c r="G36" s="19" t="s">
        <v>231</v>
      </c>
      <c r="H36" s="14" t="s">
        <v>901</v>
      </c>
      <c r="I36" s="12" t="s">
        <v>232</v>
      </c>
      <c r="J36" s="11" t="s">
        <v>233</v>
      </c>
      <c r="K36" s="13">
        <v>1</v>
      </c>
      <c r="L36" s="13">
        <v>2400</v>
      </c>
      <c r="M36" s="13"/>
      <c r="N36" s="13"/>
      <c r="O36" s="13">
        <v>1.66</v>
      </c>
      <c r="P36" s="13">
        <v>0</v>
      </c>
      <c r="Q36" s="13">
        <v>0</v>
      </c>
      <c r="R36" s="13">
        <v>0</v>
      </c>
      <c r="S36" s="13">
        <v>0.26</v>
      </c>
      <c r="T36" s="13">
        <v>0</v>
      </c>
      <c r="U36" s="13">
        <v>0</v>
      </c>
      <c r="V36" s="13">
        <v>0</v>
      </c>
    </row>
    <row r="37" spans="1:22">
      <c r="A37" t="s">
        <v>234</v>
      </c>
      <c r="B37">
        <v>1</v>
      </c>
      <c r="C37" t="s">
        <v>144</v>
      </c>
      <c r="D37">
        <v>4</v>
      </c>
      <c r="E37" t="s">
        <v>218</v>
      </c>
      <c r="F37">
        <v>4</v>
      </c>
      <c r="G37" s="19" t="s">
        <v>235</v>
      </c>
      <c r="H37" s="14" t="s">
        <v>901</v>
      </c>
      <c r="I37" t="s">
        <v>236</v>
      </c>
      <c r="J37" s="11" t="s">
        <v>149</v>
      </c>
      <c r="K37" s="13">
        <f t="shared" ref="K37:K52" si="3">L37</f>
        <v>1800</v>
      </c>
      <c r="L37" s="13">
        <v>1800</v>
      </c>
      <c r="M37" s="13"/>
      <c r="N37" s="13"/>
      <c r="O37" s="13">
        <v>2764.58</v>
      </c>
      <c r="P37" s="13">
        <v>0</v>
      </c>
      <c r="Q37" s="13">
        <v>0</v>
      </c>
      <c r="R37" s="13">
        <v>0</v>
      </c>
      <c r="S37" s="13">
        <v>428.79</v>
      </c>
      <c r="T37" s="13">
        <v>0</v>
      </c>
      <c r="U37" s="13">
        <v>0</v>
      </c>
      <c r="V37" s="13">
        <v>0</v>
      </c>
    </row>
    <row r="38" spans="1:22">
      <c r="A38" t="s">
        <v>237</v>
      </c>
      <c r="B38">
        <v>1</v>
      </c>
      <c r="C38" t="s">
        <v>144</v>
      </c>
      <c r="D38">
        <v>4</v>
      </c>
      <c r="E38" t="s">
        <v>218</v>
      </c>
      <c r="F38">
        <v>4</v>
      </c>
      <c r="G38" s="19" t="s">
        <v>235</v>
      </c>
      <c r="H38" s="14" t="s">
        <v>901</v>
      </c>
      <c r="I38" t="s">
        <v>238</v>
      </c>
      <c r="J38" s="11" t="s">
        <v>149</v>
      </c>
      <c r="K38" s="13">
        <f t="shared" si="3"/>
        <v>900</v>
      </c>
      <c r="L38" s="13">
        <v>900</v>
      </c>
      <c r="M38" s="13"/>
      <c r="N38" s="13"/>
      <c r="O38" s="13">
        <v>2770.32</v>
      </c>
      <c r="P38" s="13">
        <v>0</v>
      </c>
      <c r="Q38" s="13">
        <v>0</v>
      </c>
      <c r="R38" s="13">
        <v>0</v>
      </c>
      <c r="S38" s="13">
        <v>295.66000000000003</v>
      </c>
      <c r="T38" s="13">
        <v>0</v>
      </c>
      <c r="U38" s="13">
        <v>0</v>
      </c>
      <c r="V38" s="13">
        <v>0</v>
      </c>
    </row>
    <row r="39" spans="1:22">
      <c r="A39" t="s">
        <v>239</v>
      </c>
      <c r="B39">
        <v>1</v>
      </c>
      <c r="C39" t="s">
        <v>144</v>
      </c>
      <c r="D39">
        <v>4</v>
      </c>
      <c r="E39" t="s">
        <v>218</v>
      </c>
      <c r="F39">
        <v>4</v>
      </c>
      <c r="G39" s="19" t="s">
        <v>235</v>
      </c>
      <c r="H39" s="14" t="s">
        <v>901</v>
      </c>
      <c r="I39" t="s">
        <v>240</v>
      </c>
      <c r="J39" s="11" t="s">
        <v>149</v>
      </c>
      <c r="K39" s="13">
        <f t="shared" si="3"/>
        <v>1700</v>
      </c>
      <c r="L39" s="13">
        <v>1700</v>
      </c>
      <c r="M39" s="13"/>
      <c r="N39" s="13"/>
      <c r="O39" s="13">
        <v>3055.1</v>
      </c>
      <c r="P39" s="15">
        <v>0</v>
      </c>
      <c r="Q39" s="13">
        <v>0</v>
      </c>
      <c r="R39" s="13">
        <v>0</v>
      </c>
      <c r="S39" s="13">
        <v>1474.5</v>
      </c>
      <c r="T39" s="13">
        <v>0</v>
      </c>
      <c r="U39" s="13">
        <v>0</v>
      </c>
      <c r="V39" s="13">
        <v>0</v>
      </c>
    </row>
    <row r="40" spans="1:22">
      <c r="A40" t="s">
        <v>241</v>
      </c>
      <c r="B40">
        <v>1</v>
      </c>
      <c r="C40" t="s">
        <v>144</v>
      </c>
      <c r="D40">
        <v>4</v>
      </c>
      <c r="E40" t="s">
        <v>218</v>
      </c>
      <c r="F40">
        <v>4</v>
      </c>
      <c r="G40" s="19" t="s">
        <v>235</v>
      </c>
      <c r="H40" s="14" t="s">
        <v>901</v>
      </c>
      <c r="I40" t="s">
        <v>242</v>
      </c>
      <c r="J40" s="11" t="s">
        <v>149</v>
      </c>
      <c r="K40" s="13">
        <f t="shared" si="3"/>
        <v>900</v>
      </c>
      <c r="L40" s="13">
        <v>900</v>
      </c>
      <c r="M40" s="13"/>
      <c r="N40" s="13"/>
      <c r="O40" s="13">
        <v>1362.76</v>
      </c>
      <c r="P40" s="13">
        <v>0</v>
      </c>
      <c r="Q40" s="13">
        <v>0</v>
      </c>
      <c r="R40" s="13">
        <v>0</v>
      </c>
      <c r="S40" s="13">
        <v>146.15</v>
      </c>
      <c r="T40" s="13">
        <v>0</v>
      </c>
      <c r="U40" s="13">
        <v>0</v>
      </c>
      <c r="V40" s="13">
        <v>0</v>
      </c>
    </row>
    <row r="41" spans="1:22">
      <c r="A41" t="s">
        <v>243</v>
      </c>
      <c r="B41">
        <v>2</v>
      </c>
      <c r="C41" t="s">
        <v>244</v>
      </c>
      <c r="D41">
        <v>1</v>
      </c>
      <c r="E41" t="s">
        <v>245</v>
      </c>
      <c r="F41">
        <v>1</v>
      </c>
      <c r="G41" t="s">
        <v>245</v>
      </c>
      <c r="H41" s="14" t="s">
        <v>901</v>
      </c>
      <c r="I41" t="s">
        <v>246</v>
      </c>
      <c r="J41" s="11" t="s">
        <v>149</v>
      </c>
      <c r="K41" s="13">
        <f t="shared" si="3"/>
        <v>85</v>
      </c>
      <c r="L41" s="13">
        <v>85</v>
      </c>
      <c r="M41" s="13"/>
      <c r="N41" s="13"/>
      <c r="O41" s="13">
        <v>2380.0300000000002</v>
      </c>
      <c r="P41" s="13">
        <v>0</v>
      </c>
      <c r="Q41" s="13">
        <v>0</v>
      </c>
      <c r="R41" s="13">
        <v>0</v>
      </c>
      <c r="S41" s="13">
        <v>183.67</v>
      </c>
      <c r="T41" s="13">
        <v>0</v>
      </c>
      <c r="U41" s="13">
        <v>0</v>
      </c>
      <c r="V41" s="13">
        <v>0</v>
      </c>
    </row>
    <row r="42" spans="1:22">
      <c r="A42" t="s">
        <v>247</v>
      </c>
      <c r="B42">
        <v>2</v>
      </c>
      <c r="C42" t="s">
        <v>244</v>
      </c>
      <c r="D42">
        <v>1</v>
      </c>
      <c r="E42" t="s">
        <v>245</v>
      </c>
      <c r="F42">
        <v>1</v>
      </c>
      <c r="G42" t="s">
        <v>245</v>
      </c>
      <c r="H42" s="14" t="s">
        <v>901</v>
      </c>
      <c r="I42" t="s">
        <v>248</v>
      </c>
      <c r="J42" s="11" t="s">
        <v>149</v>
      </c>
      <c r="K42" s="13">
        <f t="shared" si="3"/>
        <v>46.25</v>
      </c>
      <c r="L42" s="13">
        <v>46.25</v>
      </c>
      <c r="M42" s="13"/>
      <c r="N42" s="13"/>
      <c r="O42" s="13">
        <v>1125.3499999999999</v>
      </c>
      <c r="P42" s="13">
        <v>0</v>
      </c>
      <c r="Q42" s="13">
        <v>0</v>
      </c>
      <c r="R42" s="13">
        <v>0</v>
      </c>
      <c r="S42" s="13">
        <v>94.76</v>
      </c>
      <c r="T42" s="13">
        <v>0</v>
      </c>
      <c r="U42" s="13">
        <v>0</v>
      </c>
      <c r="V42" s="13">
        <v>0</v>
      </c>
    </row>
    <row r="43" spans="1:22">
      <c r="A43" t="s">
        <v>249</v>
      </c>
      <c r="B43">
        <v>2</v>
      </c>
      <c r="C43" t="s">
        <v>244</v>
      </c>
      <c r="D43">
        <v>1</v>
      </c>
      <c r="E43" t="s">
        <v>245</v>
      </c>
      <c r="F43">
        <v>1</v>
      </c>
      <c r="G43" t="s">
        <v>245</v>
      </c>
      <c r="H43" s="14" t="s">
        <v>901</v>
      </c>
      <c r="I43" t="s">
        <v>250</v>
      </c>
      <c r="J43" s="11" t="s">
        <v>149</v>
      </c>
      <c r="K43" s="13">
        <f t="shared" si="3"/>
        <v>145</v>
      </c>
      <c r="L43" s="13">
        <v>145</v>
      </c>
      <c r="M43" s="13"/>
      <c r="N43" s="13"/>
      <c r="O43" s="13">
        <v>2757.84</v>
      </c>
      <c r="P43" s="13">
        <v>0</v>
      </c>
      <c r="Q43" s="13">
        <v>0</v>
      </c>
      <c r="R43" s="13">
        <v>0</v>
      </c>
      <c r="S43" s="13">
        <v>273.66000000000003</v>
      </c>
      <c r="T43" s="13">
        <v>0</v>
      </c>
      <c r="U43" s="13">
        <v>0</v>
      </c>
      <c r="V43" s="13">
        <v>0</v>
      </c>
    </row>
    <row r="44" spans="1:22">
      <c r="A44" t="s">
        <v>251</v>
      </c>
      <c r="B44">
        <v>2</v>
      </c>
      <c r="C44" t="s">
        <v>244</v>
      </c>
      <c r="D44">
        <v>2</v>
      </c>
      <c r="E44" t="s">
        <v>252</v>
      </c>
      <c r="F44">
        <v>1</v>
      </c>
      <c r="G44" t="s">
        <v>253</v>
      </c>
      <c r="H44" s="14" t="s">
        <v>901</v>
      </c>
      <c r="I44" t="s">
        <v>254</v>
      </c>
      <c r="J44" s="11" t="s">
        <v>149</v>
      </c>
      <c r="K44" s="13">
        <f t="shared" si="3"/>
        <v>25</v>
      </c>
      <c r="L44" s="13">
        <v>25</v>
      </c>
      <c r="M44" s="13"/>
      <c r="N44" s="13"/>
      <c r="O44" s="13">
        <v>2651.76</v>
      </c>
      <c r="P44" s="13">
        <v>0</v>
      </c>
      <c r="Q44" s="13">
        <v>0</v>
      </c>
      <c r="R44" s="13">
        <v>0</v>
      </c>
      <c r="S44" s="13">
        <v>100.84</v>
      </c>
      <c r="T44" s="13">
        <v>0</v>
      </c>
      <c r="U44" s="13">
        <v>0</v>
      </c>
      <c r="V44" s="13">
        <v>0</v>
      </c>
    </row>
    <row r="45" spans="1:22">
      <c r="A45" t="s">
        <v>255</v>
      </c>
      <c r="B45">
        <v>2</v>
      </c>
      <c r="C45" t="s">
        <v>244</v>
      </c>
      <c r="D45">
        <v>3</v>
      </c>
      <c r="E45" t="s">
        <v>256</v>
      </c>
      <c r="F45">
        <v>1</v>
      </c>
      <c r="G45" t="s">
        <v>257</v>
      </c>
      <c r="H45" s="14" t="s">
        <v>901</v>
      </c>
      <c r="I45" t="s">
        <v>258</v>
      </c>
      <c r="J45" s="11" t="s">
        <v>149</v>
      </c>
      <c r="K45" s="13">
        <f t="shared" si="3"/>
        <v>32</v>
      </c>
      <c r="L45" s="13">
        <v>32</v>
      </c>
      <c r="M45" s="13"/>
      <c r="N45" s="13"/>
      <c r="O45" s="13">
        <v>3090.24</v>
      </c>
      <c r="P45" s="13">
        <v>0</v>
      </c>
      <c r="Q45" s="13">
        <v>0</v>
      </c>
      <c r="R45" s="13">
        <v>0</v>
      </c>
      <c r="S45" s="13">
        <v>118.32</v>
      </c>
      <c r="T45" s="13">
        <v>0</v>
      </c>
      <c r="U45" s="13">
        <v>0</v>
      </c>
      <c r="V45" s="13">
        <v>0</v>
      </c>
    </row>
    <row r="46" spans="1:22" ht="14.1" customHeight="1">
      <c r="A46" t="s">
        <v>259</v>
      </c>
      <c r="B46">
        <v>2</v>
      </c>
      <c r="C46" t="s">
        <v>244</v>
      </c>
      <c r="D46">
        <v>7</v>
      </c>
      <c r="E46" t="s">
        <v>260</v>
      </c>
      <c r="F46">
        <v>1</v>
      </c>
      <c r="G46" t="s">
        <v>260</v>
      </c>
      <c r="H46" s="14" t="s">
        <v>901</v>
      </c>
      <c r="I46" s="12" t="s">
        <v>261</v>
      </c>
      <c r="J46" s="11" t="s">
        <v>149</v>
      </c>
      <c r="K46" s="13">
        <f t="shared" si="3"/>
        <v>360</v>
      </c>
      <c r="L46" s="13">
        <v>360</v>
      </c>
      <c r="M46" s="13"/>
      <c r="N46" s="13"/>
      <c r="O46" s="13">
        <v>3461.94</v>
      </c>
      <c r="P46" s="13"/>
      <c r="Q46" s="13"/>
      <c r="R46" s="13"/>
      <c r="S46" s="13">
        <v>31.65</v>
      </c>
      <c r="T46" s="13"/>
      <c r="U46" s="13"/>
      <c r="V46" s="13"/>
    </row>
    <row r="47" spans="1:22">
      <c r="A47" t="s">
        <v>262</v>
      </c>
      <c r="B47">
        <v>2</v>
      </c>
      <c r="C47" t="s">
        <v>244</v>
      </c>
      <c r="D47">
        <v>20</v>
      </c>
      <c r="E47" t="s">
        <v>263</v>
      </c>
      <c r="F47">
        <v>1</v>
      </c>
      <c r="G47" t="s">
        <v>264</v>
      </c>
      <c r="H47" s="14" t="s">
        <v>901</v>
      </c>
      <c r="I47" t="s">
        <v>265</v>
      </c>
      <c r="J47" s="11" t="s">
        <v>149</v>
      </c>
      <c r="K47" s="13">
        <f t="shared" si="3"/>
        <v>115</v>
      </c>
      <c r="L47" s="13">
        <v>115</v>
      </c>
      <c r="M47" s="13"/>
      <c r="N47" s="13"/>
      <c r="O47" s="13">
        <v>2334.91</v>
      </c>
      <c r="P47" s="13">
        <v>0</v>
      </c>
      <c r="Q47" s="13">
        <v>0</v>
      </c>
      <c r="R47" s="13">
        <v>0</v>
      </c>
      <c r="S47" s="13">
        <v>246.63</v>
      </c>
      <c r="T47" s="13">
        <v>0</v>
      </c>
      <c r="U47" s="13">
        <v>0</v>
      </c>
      <c r="V47" s="13">
        <v>0</v>
      </c>
    </row>
    <row r="48" spans="1:22" ht="14.1" customHeight="1">
      <c r="A48" t="s">
        <v>266</v>
      </c>
      <c r="B48">
        <v>3</v>
      </c>
      <c r="C48" t="s">
        <v>267</v>
      </c>
      <c r="D48">
        <v>1</v>
      </c>
      <c r="E48" t="s">
        <v>268</v>
      </c>
      <c r="F48">
        <v>2</v>
      </c>
      <c r="G48" t="s">
        <v>269</v>
      </c>
      <c r="H48" s="14" t="s">
        <v>901</v>
      </c>
      <c r="I48" s="12" t="s">
        <v>270</v>
      </c>
      <c r="J48" s="11" t="s">
        <v>149</v>
      </c>
      <c r="K48" s="13">
        <f t="shared" si="3"/>
        <v>529</v>
      </c>
      <c r="L48" s="13">
        <v>529</v>
      </c>
      <c r="M48" s="13"/>
      <c r="N48" s="13"/>
      <c r="O48" s="13">
        <v>4189.32</v>
      </c>
      <c r="P48" s="13"/>
      <c r="Q48" s="13"/>
      <c r="R48" s="13"/>
      <c r="S48" s="13">
        <v>-473.31</v>
      </c>
      <c r="T48" s="13"/>
      <c r="U48" s="13"/>
      <c r="V48" s="13"/>
    </row>
    <row r="49" spans="1:22" ht="14.1" customHeight="1">
      <c r="A49" t="s">
        <v>271</v>
      </c>
      <c r="B49">
        <v>3</v>
      </c>
      <c r="C49" t="s">
        <v>267</v>
      </c>
      <c r="D49">
        <v>1</v>
      </c>
      <c r="E49" t="s">
        <v>268</v>
      </c>
      <c r="F49">
        <v>3</v>
      </c>
      <c r="G49" t="s">
        <v>272</v>
      </c>
      <c r="H49" s="14" t="s">
        <v>901</v>
      </c>
      <c r="I49" s="12" t="s">
        <v>273</v>
      </c>
      <c r="J49" s="11" t="s">
        <v>149</v>
      </c>
      <c r="K49" s="13">
        <f t="shared" si="3"/>
        <v>515.20000000000005</v>
      </c>
      <c r="L49" s="13">
        <v>515.20000000000005</v>
      </c>
      <c r="M49" s="13"/>
      <c r="N49" s="13"/>
      <c r="O49" s="13">
        <v>4949.1000000000004</v>
      </c>
      <c r="P49" s="13"/>
      <c r="Q49" s="13"/>
      <c r="R49" s="13"/>
      <c r="S49" s="13">
        <v>-438.79</v>
      </c>
      <c r="T49" s="13"/>
      <c r="U49" s="13"/>
      <c r="V49" s="13"/>
    </row>
    <row r="50" spans="1:22" ht="14.1" customHeight="1">
      <c r="A50" t="s">
        <v>274</v>
      </c>
      <c r="B50">
        <v>3</v>
      </c>
      <c r="C50" t="s">
        <v>267</v>
      </c>
      <c r="D50">
        <v>1</v>
      </c>
      <c r="E50" t="s">
        <v>268</v>
      </c>
      <c r="F50">
        <v>4</v>
      </c>
      <c r="G50" t="s">
        <v>275</v>
      </c>
      <c r="H50" s="14" t="s">
        <v>901</v>
      </c>
      <c r="I50" s="12" t="s">
        <v>276</v>
      </c>
      <c r="J50" s="11" t="s">
        <v>149</v>
      </c>
      <c r="K50" s="13">
        <f t="shared" si="3"/>
        <v>515.20000000000005</v>
      </c>
      <c r="L50" s="13">
        <v>515.20000000000005</v>
      </c>
      <c r="M50" s="13"/>
      <c r="N50" s="13"/>
      <c r="O50" s="13">
        <v>5093.28</v>
      </c>
      <c r="P50" s="13"/>
      <c r="Q50" s="13"/>
      <c r="R50" s="13"/>
      <c r="S50" s="13">
        <v>-436.76</v>
      </c>
      <c r="T50" s="13"/>
      <c r="U50" s="13"/>
      <c r="V50" s="13"/>
    </row>
    <row r="51" spans="1:22" ht="14.1" customHeight="1">
      <c r="A51" t="s">
        <v>277</v>
      </c>
      <c r="B51">
        <v>3</v>
      </c>
      <c r="C51" t="s">
        <v>267</v>
      </c>
      <c r="D51">
        <v>2</v>
      </c>
      <c r="E51" t="s">
        <v>278</v>
      </c>
      <c r="F51">
        <v>2</v>
      </c>
      <c r="G51" t="s">
        <v>279</v>
      </c>
      <c r="H51" s="14" t="s">
        <v>901</v>
      </c>
      <c r="I51" s="12" t="s">
        <v>280</v>
      </c>
      <c r="J51" s="11" t="s">
        <v>149</v>
      </c>
      <c r="K51" s="13">
        <f t="shared" si="3"/>
        <v>490.6</v>
      </c>
      <c r="L51" s="13">
        <v>490.6</v>
      </c>
      <c r="M51" s="13"/>
      <c r="N51" s="13"/>
      <c r="O51" s="13">
        <v>5310.36</v>
      </c>
      <c r="P51" s="13"/>
      <c r="Q51" s="13"/>
      <c r="R51" s="13"/>
      <c r="S51" s="13">
        <v>-539.03</v>
      </c>
      <c r="T51" s="13"/>
      <c r="U51" s="13"/>
      <c r="V51" s="13"/>
    </row>
    <row r="52" spans="1:22" ht="14.1" customHeight="1">
      <c r="A52" t="s">
        <v>281</v>
      </c>
      <c r="B52">
        <v>3</v>
      </c>
      <c r="C52" t="s">
        <v>267</v>
      </c>
      <c r="D52">
        <v>2</v>
      </c>
      <c r="E52" t="s">
        <v>278</v>
      </c>
      <c r="F52">
        <v>6</v>
      </c>
      <c r="G52" t="s">
        <v>282</v>
      </c>
      <c r="H52" s="14" t="s">
        <v>901</v>
      </c>
      <c r="I52" s="12" t="s">
        <v>283</v>
      </c>
      <c r="J52" s="11" t="s">
        <v>149</v>
      </c>
      <c r="K52" s="13">
        <f t="shared" si="3"/>
        <v>700</v>
      </c>
      <c r="L52" s="13">
        <v>700</v>
      </c>
      <c r="M52" s="13"/>
      <c r="N52" s="13"/>
      <c r="O52" s="13">
        <v>7638.3</v>
      </c>
      <c r="P52" s="13"/>
      <c r="Q52" s="13"/>
      <c r="R52" s="13"/>
      <c r="S52" s="13">
        <v>-627.62</v>
      </c>
      <c r="T52" s="13"/>
      <c r="U52" s="13"/>
      <c r="V52" s="13"/>
    </row>
    <row r="53" spans="1:22" ht="14.1" customHeight="1">
      <c r="A53" t="s">
        <v>284</v>
      </c>
      <c r="B53">
        <v>3</v>
      </c>
      <c r="C53" t="s">
        <v>267</v>
      </c>
      <c r="D53">
        <v>3</v>
      </c>
      <c r="E53" t="s">
        <v>285</v>
      </c>
      <c r="F53">
        <v>1</v>
      </c>
      <c r="G53" t="s">
        <v>286</v>
      </c>
      <c r="H53" s="14" t="s">
        <v>901</v>
      </c>
      <c r="I53" s="12" t="s">
        <v>287</v>
      </c>
      <c r="J53" s="11" t="s">
        <v>157</v>
      </c>
      <c r="K53" s="13">
        <f>M53</f>
        <v>7.09</v>
      </c>
      <c r="L53" s="13"/>
      <c r="M53" s="13">
        <v>7.09</v>
      </c>
      <c r="N53" s="13"/>
      <c r="O53" s="13">
        <v>266.98</v>
      </c>
      <c r="P53" s="13"/>
      <c r="Q53" s="13"/>
      <c r="R53" s="13"/>
      <c r="S53" s="13">
        <v>-0.99</v>
      </c>
      <c r="T53" s="13"/>
      <c r="U53" s="13"/>
      <c r="V53" s="13"/>
    </row>
    <row r="54" spans="1:22">
      <c r="A54" t="s">
        <v>288</v>
      </c>
      <c r="B54">
        <v>4</v>
      </c>
      <c r="C54" t="s">
        <v>289</v>
      </c>
      <c r="D54">
        <v>1</v>
      </c>
      <c r="E54" t="s">
        <v>290</v>
      </c>
      <c r="F54">
        <v>2</v>
      </c>
      <c r="G54" t="s">
        <v>291</v>
      </c>
      <c r="H54" s="14" t="s">
        <v>901</v>
      </c>
      <c r="I54" t="s">
        <v>292</v>
      </c>
      <c r="J54" s="11" t="s">
        <v>233</v>
      </c>
      <c r="K54" s="13">
        <v>1</v>
      </c>
      <c r="L54" s="13">
        <v>7850</v>
      </c>
      <c r="M54" s="13"/>
      <c r="N54" s="13"/>
      <c r="O54" s="13">
        <v>21.28</v>
      </c>
      <c r="P54" s="13">
        <v>0</v>
      </c>
      <c r="Q54" s="13">
        <v>0</v>
      </c>
      <c r="R54" s="13">
        <v>0</v>
      </c>
      <c r="S54" s="13">
        <v>1.73</v>
      </c>
      <c r="T54" s="13">
        <v>0</v>
      </c>
      <c r="U54" s="13">
        <v>0</v>
      </c>
      <c r="V54" s="13">
        <v>0</v>
      </c>
    </row>
    <row r="55" spans="1:22">
      <c r="A55" t="s">
        <v>293</v>
      </c>
      <c r="B55">
        <v>4</v>
      </c>
      <c r="C55" t="s">
        <v>289</v>
      </c>
      <c r="D55">
        <v>1</v>
      </c>
      <c r="E55" t="s">
        <v>290</v>
      </c>
      <c r="F55">
        <v>2</v>
      </c>
      <c r="G55" t="s">
        <v>291</v>
      </c>
      <c r="H55" s="14" t="s">
        <v>901</v>
      </c>
      <c r="I55" t="s">
        <v>294</v>
      </c>
      <c r="J55" s="11" t="s">
        <v>295</v>
      </c>
      <c r="K55" s="13">
        <f>L55</f>
        <v>7850</v>
      </c>
      <c r="L55" s="13">
        <v>7850</v>
      </c>
      <c r="M55" s="13"/>
      <c r="N55" s="13"/>
      <c r="O55" s="13">
        <v>17116.52</v>
      </c>
      <c r="P55" s="13">
        <v>0</v>
      </c>
      <c r="Q55" s="13">
        <v>0</v>
      </c>
      <c r="R55" s="13">
        <v>0</v>
      </c>
      <c r="S55" s="13">
        <v>1484</v>
      </c>
      <c r="T55" s="13">
        <v>0</v>
      </c>
      <c r="U55" s="13">
        <v>0</v>
      </c>
      <c r="V55" s="13">
        <v>0</v>
      </c>
    </row>
    <row r="56" spans="1:22" ht="14.1" customHeight="1">
      <c r="A56" t="s">
        <v>296</v>
      </c>
      <c r="B56">
        <v>4</v>
      </c>
      <c r="C56" t="s">
        <v>289</v>
      </c>
      <c r="D56">
        <v>1</v>
      </c>
      <c r="E56" t="s">
        <v>290</v>
      </c>
      <c r="F56">
        <v>3</v>
      </c>
      <c r="G56" t="s">
        <v>297</v>
      </c>
      <c r="H56" s="14" t="s">
        <v>901</v>
      </c>
      <c r="I56" s="12" t="s">
        <v>298</v>
      </c>
      <c r="J56" s="11" t="s">
        <v>295</v>
      </c>
      <c r="K56" s="13">
        <f>L56</f>
        <v>7850</v>
      </c>
      <c r="L56" s="13">
        <v>7850</v>
      </c>
      <c r="M56" s="13"/>
      <c r="N56" s="13"/>
      <c r="O56" s="13">
        <v>24581.48</v>
      </c>
      <c r="P56" s="13">
        <v>0</v>
      </c>
      <c r="Q56" s="13">
        <v>0</v>
      </c>
      <c r="R56" s="13">
        <v>0</v>
      </c>
      <c r="S56" s="13">
        <v>1527.62</v>
      </c>
      <c r="T56" s="13">
        <v>0</v>
      </c>
      <c r="U56" s="13">
        <v>0</v>
      </c>
      <c r="V56" s="13">
        <v>0</v>
      </c>
    </row>
    <row r="57" spans="1:22" ht="14.1" customHeight="1">
      <c r="A57" t="s">
        <v>299</v>
      </c>
      <c r="B57">
        <v>4</v>
      </c>
      <c r="C57" t="s">
        <v>289</v>
      </c>
      <c r="D57">
        <v>1</v>
      </c>
      <c r="E57" t="s">
        <v>290</v>
      </c>
      <c r="F57">
        <v>3</v>
      </c>
      <c r="G57" t="s">
        <v>297</v>
      </c>
      <c r="H57" s="14" t="s">
        <v>901</v>
      </c>
      <c r="I57" s="12" t="s">
        <v>300</v>
      </c>
      <c r="J57" s="11" t="s">
        <v>233</v>
      </c>
      <c r="K57" s="13">
        <v>1</v>
      </c>
      <c r="L57" s="13">
        <v>7850</v>
      </c>
      <c r="M57" s="13"/>
      <c r="N57" s="13"/>
      <c r="O57" s="13">
        <v>41.36</v>
      </c>
      <c r="P57" s="13">
        <v>0</v>
      </c>
      <c r="Q57" s="13">
        <v>0</v>
      </c>
      <c r="R57" s="13">
        <v>0</v>
      </c>
      <c r="S57" s="13">
        <v>4.33</v>
      </c>
      <c r="T57" s="13">
        <v>0</v>
      </c>
      <c r="U57" s="13">
        <v>0</v>
      </c>
      <c r="V57" s="13">
        <v>0</v>
      </c>
    </row>
    <row r="58" spans="1:22" ht="14.1" customHeight="1">
      <c r="A58" t="s">
        <v>301</v>
      </c>
      <c r="B58">
        <v>4</v>
      </c>
      <c r="C58" t="s">
        <v>289</v>
      </c>
      <c r="D58">
        <v>1</v>
      </c>
      <c r="E58" t="s">
        <v>290</v>
      </c>
      <c r="F58">
        <v>4</v>
      </c>
      <c r="G58" s="12" t="s">
        <v>302</v>
      </c>
      <c r="H58" s="14" t="s">
        <v>901</v>
      </c>
      <c r="I58" s="12" t="s">
        <v>303</v>
      </c>
      <c r="J58" s="11" t="s">
        <v>157</v>
      </c>
      <c r="K58" s="13">
        <f>M58</f>
        <v>5.72</v>
      </c>
      <c r="L58" s="13"/>
      <c r="M58" s="13">
        <v>5.72</v>
      </c>
      <c r="N58" s="13"/>
      <c r="O58" s="13">
        <v>237.3</v>
      </c>
      <c r="P58" s="13">
        <v>0</v>
      </c>
      <c r="Q58" s="13">
        <v>0</v>
      </c>
      <c r="R58" s="13">
        <v>0</v>
      </c>
      <c r="S58" s="13">
        <v>25.51</v>
      </c>
      <c r="T58" s="13">
        <v>0</v>
      </c>
      <c r="U58" s="13">
        <v>0</v>
      </c>
      <c r="V58" s="13">
        <v>0</v>
      </c>
    </row>
    <row r="59" spans="1:22" ht="14.1" customHeight="1">
      <c r="A59" t="s">
        <v>304</v>
      </c>
      <c r="B59">
        <v>4</v>
      </c>
      <c r="C59" t="s">
        <v>289</v>
      </c>
      <c r="D59">
        <v>1</v>
      </c>
      <c r="E59" t="s">
        <v>290</v>
      </c>
      <c r="F59">
        <v>5</v>
      </c>
      <c r="G59" t="s">
        <v>305</v>
      </c>
      <c r="H59" s="14" t="s">
        <v>901</v>
      </c>
      <c r="I59" s="12" t="s">
        <v>306</v>
      </c>
      <c r="J59" s="11" t="s">
        <v>233</v>
      </c>
      <c r="K59" s="13">
        <v>1</v>
      </c>
      <c r="L59" s="13"/>
      <c r="M59" s="13"/>
      <c r="N59" s="13"/>
      <c r="O59" s="13">
        <v>20.85</v>
      </c>
      <c r="P59" s="13">
        <v>0</v>
      </c>
      <c r="Q59" s="13">
        <v>0</v>
      </c>
      <c r="R59" s="13">
        <v>0</v>
      </c>
      <c r="S59" s="13">
        <v>2.21</v>
      </c>
      <c r="T59" s="13">
        <v>0</v>
      </c>
      <c r="U59" s="13">
        <v>0</v>
      </c>
      <c r="V59" s="13">
        <v>0</v>
      </c>
    </row>
    <row r="60" spans="1:22" ht="14.1" customHeight="1">
      <c r="A60" t="s">
        <v>307</v>
      </c>
      <c r="B60">
        <v>5</v>
      </c>
      <c r="C60" t="s">
        <v>308</v>
      </c>
      <c r="D60">
        <v>1</v>
      </c>
      <c r="E60" t="s">
        <v>309</v>
      </c>
      <c r="F60">
        <v>1</v>
      </c>
      <c r="G60" t="s">
        <v>310</v>
      </c>
      <c r="H60" s="14" t="s">
        <v>901</v>
      </c>
      <c r="I60" s="12" t="s">
        <v>311</v>
      </c>
      <c r="J60" s="11" t="s">
        <v>233</v>
      </c>
      <c r="K60" s="13">
        <v>1</v>
      </c>
      <c r="L60" s="13"/>
      <c r="M60" s="13"/>
      <c r="N60" s="13"/>
      <c r="O60" s="13">
        <v>21.21</v>
      </c>
      <c r="P60" s="13">
        <v>0</v>
      </c>
      <c r="Q60" s="13">
        <v>0</v>
      </c>
      <c r="R60" s="13">
        <v>0</v>
      </c>
      <c r="S60" s="13">
        <v>1.1100000000000001</v>
      </c>
      <c r="T60" s="13">
        <v>0</v>
      </c>
      <c r="U60" s="13">
        <v>0</v>
      </c>
      <c r="V60" s="13">
        <v>0</v>
      </c>
    </row>
    <row r="61" spans="1:22" ht="14.1" customHeight="1">
      <c r="A61" t="s">
        <v>312</v>
      </c>
      <c r="B61">
        <v>5</v>
      </c>
      <c r="C61" t="s">
        <v>308</v>
      </c>
      <c r="D61">
        <v>1</v>
      </c>
      <c r="E61" t="s">
        <v>309</v>
      </c>
      <c r="F61">
        <v>1</v>
      </c>
      <c r="G61" t="s">
        <v>310</v>
      </c>
      <c r="H61" s="14" t="s">
        <v>901</v>
      </c>
      <c r="I61" s="12" t="s">
        <v>313</v>
      </c>
      <c r="J61" s="11" t="s">
        <v>233</v>
      </c>
      <c r="K61" s="13">
        <v>1</v>
      </c>
      <c r="L61" s="13"/>
      <c r="M61" s="13"/>
      <c r="N61" s="13"/>
      <c r="O61" s="13">
        <v>19.14</v>
      </c>
      <c r="P61" s="13">
        <v>0</v>
      </c>
      <c r="Q61" s="13">
        <v>0</v>
      </c>
      <c r="R61" s="13">
        <v>0</v>
      </c>
      <c r="S61" s="13">
        <v>1.02</v>
      </c>
      <c r="T61" s="13">
        <v>0</v>
      </c>
      <c r="U61" s="13">
        <v>0</v>
      </c>
      <c r="V61" s="13">
        <v>0</v>
      </c>
    </row>
    <row r="62" spans="1:22">
      <c r="A62" t="s">
        <v>314</v>
      </c>
      <c r="B62">
        <v>6</v>
      </c>
      <c r="C62" t="s">
        <v>315</v>
      </c>
      <c r="D62">
        <v>3</v>
      </c>
      <c r="E62" t="s">
        <v>316</v>
      </c>
      <c r="F62">
        <v>1</v>
      </c>
      <c r="G62" t="s">
        <v>317</v>
      </c>
      <c r="H62" s="14" t="s">
        <v>901</v>
      </c>
      <c r="I62" t="s">
        <v>318</v>
      </c>
      <c r="J62" s="11" t="s">
        <v>157</v>
      </c>
      <c r="K62" s="13">
        <f>M62</f>
        <v>5</v>
      </c>
      <c r="L62" s="13"/>
      <c r="M62" s="13">
        <v>5</v>
      </c>
      <c r="N62" s="13"/>
      <c r="O62" s="13">
        <v>224.1</v>
      </c>
      <c r="P62" s="13">
        <v>0</v>
      </c>
      <c r="Q62" s="13">
        <v>0</v>
      </c>
      <c r="R62" s="13">
        <v>0</v>
      </c>
      <c r="S62" s="13">
        <v>3.47</v>
      </c>
      <c r="T62" s="13">
        <v>0</v>
      </c>
      <c r="U62" s="13">
        <v>0</v>
      </c>
      <c r="V62" s="13">
        <v>0</v>
      </c>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ID</v>
      </c>
      <c r="I64" s="12" t="str">
        <f t="shared" ref="I64:I72" si="5">A64</f>
        <v>CONCRETE generic data for modelling with BoQ</v>
      </c>
      <c r="J64" s="14" t="str">
        <f>J33</f>
        <v>m³</v>
      </c>
      <c r="K64" s="15">
        <f>K33</f>
        <v>2306</v>
      </c>
      <c r="L64" s="15">
        <f>L33</f>
        <v>2306</v>
      </c>
      <c r="M64" s="15"/>
      <c r="N64" s="15"/>
      <c r="O64" s="15">
        <f>O33</f>
        <v>1216.3399999999999</v>
      </c>
      <c r="P64" s="15"/>
      <c r="Q64" s="15"/>
      <c r="R64" s="15"/>
      <c r="S64" s="15">
        <f>S33</f>
        <v>358.93</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ID</v>
      </c>
      <c r="I65" s="12" t="str">
        <f t="shared" si="5"/>
        <v>STEEL generic data for modelling with BoQ</v>
      </c>
      <c r="J65" s="14" t="str">
        <f>J56</f>
        <v>t</v>
      </c>
      <c r="K65" s="15">
        <f>K56</f>
        <v>7850</v>
      </c>
      <c r="L65" s="15">
        <f>L56</f>
        <v>7850</v>
      </c>
      <c r="M65" s="15"/>
      <c r="N65" s="15"/>
      <c r="O65" s="15">
        <f>O56</f>
        <v>24581.48</v>
      </c>
      <c r="P65" s="15"/>
      <c r="Q65" s="15"/>
      <c r="R65" s="15"/>
      <c r="S65" s="15">
        <f>S56</f>
        <v>1527.62</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ID</v>
      </c>
      <c r="I66" t="str">
        <f t="shared" si="5"/>
        <v>PLASTER generic data for modelling with BoQ</v>
      </c>
      <c r="J66" s="14" t="str">
        <f>J38</f>
        <v>m³</v>
      </c>
      <c r="K66" s="15">
        <f>K38</f>
        <v>900</v>
      </c>
      <c r="L66" s="15">
        <f>L38</f>
        <v>900</v>
      </c>
      <c r="M66" s="15"/>
      <c r="N66" s="15"/>
      <c r="O66" s="15">
        <f>O38</f>
        <v>2770.32</v>
      </c>
      <c r="P66" s="15"/>
      <c r="Q66" s="15"/>
      <c r="R66" s="15"/>
      <c r="S66" s="15">
        <f>S38</f>
        <v>295.66000000000003</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ID</v>
      </c>
      <c r="I67" t="str">
        <f t="shared" si="5"/>
        <v>CEMENT SCREED generic data for modelling with BoQ</v>
      </c>
      <c r="J67" s="14" t="str">
        <f>J36</f>
        <v>kg</v>
      </c>
      <c r="K67" s="15">
        <f>K36</f>
        <v>1</v>
      </c>
      <c r="L67" s="15">
        <f>L36</f>
        <v>2400</v>
      </c>
      <c r="M67" s="15"/>
      <c r="N67" s="15"/>
      <c r="O67" s="15">
        <f>O36</f>
        <v>1.66</v>
      </c>
      <c r="P67" s="15"/>
      <c r="Q67" s="15"/>
      <c r="R67" s="15"/>
      <c r="S67" s="15">
        <f>S36</f>
        <v>0.26</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ID</v>
      </c>
      <c r="I68" t="str">
        <f t="shared" si="5"/>
        <v>FLOOR FINISH generic data for modelling with BoQ</v>
      </c>
      <c r="J68" s="14" t="str">
        <f>J18</f>
        <v>m²</v>
      </c>
      <c r="K68" s="15">
        <f>K18</f>
        <v>52</v>
      </c>
      <c r="L68" s="15"/>
      <c r="M68" s="15">
        <f>M18</f>
        <v>52</v>
      </c>
      <c r="N68" s="15"/>
      <c r="O68" s="15">
        <f>O18</f>
        <v>323.41000000000003</v>
      </c>
      <c r="P68" s="15"/>
      <c r="Q68" s="15"/>
      <c r="R68" s="15"/>
      <c r="S68" s="15">
        <f>S18</f>
        <v>24.68</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ID</v>
      </c>
      <c r="I69" t="str">
        <f t="shared" si="5"/>
        <v>AAC BLOCK generic data for modelling with BoQ</v>
      </c>
      <c r="J69" s="14" t="str">
        <f>J8</f>
        <v>m³</v>
      </c>
      <c r="K69" s="15">
        <f>K8</f>
        <v>500</v>
      </c>
      <c r="L69" s="15">
        <f>L8</f>
        <v>500</v>
      </c>
      <c r="M69" s="15"/>
      <c r="N69" s="15"/>
      <c r="O69" s="15">
        <f>O8</f>
        <v>1998.52</v>
      </c>
      <c r="P69" s="15"/>
      <c r="Q69" s="15"/>
      <c r="R69" s="15"/>
      <c r="S69" s="15">
        <f>S8</f>
        <v>328.19</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ID</v>
      </c>
      <c r="I70" t="str">
        <f t="shared" si="5"/>
        <v>RED BRICK generic data for modelling with BoQ</v>
      </c>
      <c r="J70" s="14" t="str">
        <f>J3</f>
        <v>m³</v>
      </c>
      <c r="K70" s="15">
        <f>K3</f>
        <v>1800</v>
      </c>
      <c r="L70" s="15">
        <f>L3</f>
        <v>1800</v>
      </c>
      <c r="M70" s="15"/>
      <c r="N70" s="15"/>
      <c r="O70" s="15">
        <f>O3</f>
        <v>7696.78</v>
      </c>
      <c r="P70" s="15"/>
      <c r="Q70" s="15"/>
      <c r="R70" s="15"/>
      <c r="S70" s="15">
        <f>S3</f>
        <v>522.34</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ID</v>
      </c>
      <c r="I71" t="str">
        <f t="shared" si="5"/>
        <v>CONCRETE BRICK generic data for modelling with BoQ</v>
      </c>
      <c r="J71" s="14" t="str">
        <f>J15</f>
        <v>m³</v>
      </c>
      <c r="K71" s="15">
        <f>K15</f>
        <v>2000</v>
      </c>
      <c r="L71" s="15">
        <f>L15</f>
        <v>2000</v>
      </c>
      <c r="M71" s="15"/>
      <c r="N71" s="15"/>
      <c r="O71" s="15">
        <f>O15</f>
        <v>1573.87</v>
      </c>
      <c r="P71" s="15"/>
      <c r="Q71" s="15"/>
      <c r="R71" s="15"/>
      <c r="S71" s="15">
        <f>S15</f>
        <v>318.95</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ID</v>
      </c>
      <c r="I72" t="str">
        <f t="shared" si="5"/>
        <v>CONCRETE ROOF TILES generic data for modelling with BoQ</v>
      </c>
      <c r="J72" s="14" t="str">
        <f>J24</f>
        <v>m²</v>
      </c>
      <c r="K72" s="11">
        <f>K24</f>
        <v>42</v>
      </c>
      <c r="L72" s="11"/>
      <c r="M72" s="11">
        <f>M24</f>
        <v>42</v>
      </c>
      <c r="N72" s="15"/>
      <c r="O72" s="11">
        <f>O24</f>
        <v>134.88999999999999</v>
      </c>
      <c r="P72" s="15"/>
      <c r="Q72" s="15"/>
      <c r="R72" s="15"/>
      <c r="S72" s="11">
        <f>S24</f>
        <v>18.079999999999998</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
    <pageSetUpPr fitToPage="1"/>
  </sheetPr>
  <dimension ref="A1:V79"/>
  <sheetViews>
    <sheetView workbookViewId="0"/>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902</v>
      </c>
      <c r="I2" t="s">
        <v>148</v>
      </c>
      <c r="J2" s="11" t="s">
        <v>149</v>
      </c>
      <c r="K2" s="13">
        <f>L2</f>
        <v>2000</v>
      </c>
      <c r="L2" s="13">
        <v>2000</v>
      </c>
      <c r="M2" s="13"/>
      <c r="N2" s="13"/>
      <c r="O2" s="13">
        <v>2968.45</v>
      </c>
      <c r="P2" s="13">
        <v>0</v>
      </c>
      <c r="Q2" s="13">
        <v>0</v>
      </c>
      <c r="R2" s="13">
        <v>0</v>
      </c>
      <c r="S2" s="13">
        <v>420.38</v>
      </c>
      <c r="T2" s="13">
        <v>0</v>
      </c>
      <c r="U2" s="13">
        <v>0</v>
      </c>
      <c r="V2" s="13">
        <v>0</v>
      </c>
    </row>
    <row r="3" spans="1:22">
      <c r="A3" t="s">
        <v>150</v>
      </c>
      <c r="B3">
        <v>1</v>
      </c>
      <c r="C3" t="s">
        <v>144</v>
      </c>
      <c r="D3">
        <v>3</v>
      </c>
      <c r="E3" t="s">
        <v>145</v>
      </c>
      <c r="F3">
        <v>2</v>
      </c>
      <c r="G3" t="s">
        <v>151</v>
      </c>
      <c r="H3" s="14" t="s">
        <v>902</v>
      </c>
      <c r="I3" t="s">
        <v>152</v>
      </c>
      <c r="J3" s="11" t="s">
        <v>149</v>
      </c>
      <c r="K3" s="13">
        <f>L3</f>
        <v>1800</v>
      </c>
      <c r="L3" s="13">
        <v>1800</v>
      </c>
      <c r="M3" s="13"/>
      <c r="N3" s="13"/>
      <c r="O3" s="13">
        <v>8227.5</v>
      </c>
      <c r="P3" s="13">
        <v>0</v>
      </c>
      <c r="Q3" s="13">
        <v>0</v>
      </c>
      <c r="R3" s="13">
        <v>0</v>
      </c>
      <c r="S3" s="13">
        <v>558.36</v>
      </c>
      <c r="T3" s="13">
        <v>0</v>
      </c>
      <c r="U3" s="13">
        <v>0</v>
      </c>
      <c r="V3" s="13">
        <v>0</v>
      </c>
    </row>
    <row r="4" spans="1:22">
      <c r="A4" t="s">
        <v>153</v>
      </c>
      <c r="B4">
        <v>1</v>
      </c>
      <c r="C4" t="s">
        <v>144</v>
      </c>
      <c r="D4">
        <v>3</v>
      </c>
      <c r="E4" t="s">
        <v>145</v>
      </c>
      <c r="F4">
        <v>2</v>
      </c>
      <c r="G4" t="s">
        <v>151</v>
      </c>
      <c r="H4" s="14" t="s">
        <v>902</v>
      </c>
      <c r="I4" t="s">
        <v>154</v>
      </c>
      <c r="J4" s="11" t="s">
        <v>149</v>
      </c>
      <c r="K4" s="13">
        <f>L4</f>
        <v>2000</v>
      </c>
      <c r="L4" s="13">
        <v>2000</v>
      </c>
      <c r="M4" s="13"/>
      <c r="N4" s="13"/>
      <c r="O4" s="13">
        <v>8392.43</v>
      </c>
      <c r="P4" s="13">
        <v>0</v>
      </c>
      <c r="Q4" s="13">
        <v>0</v>
      </c>
      <c r="R4" s="13">
        <v>0</v>
      </c>
      <c r="S4" s="13">
        <v>560.57000000000005</v>
      </c>
      <c r="T4" s="13">
        <v>0</v>
      </c>
      <c r="U4" s="13">
        <v>0</v>
      </c>
      <c r="V4" s="13">
        <v>0</v>
      </c>
    </row>
    <row r="5" spans="1:22">
      <c r="A5" t="s">
        <v>155</v>
      </c>
      <c r="B5">
        <v>1</v>
      </c>
      <c r="C5" t="s">
        <v>144</v>
      </c>
      <c r="D5">
        <v>3</v>
      </c>
      <c r="E5" t="s">
        <v>145</v>
      </c>
      <c r="F5">
        <v>2</v>
      </c>
      <c r="G5" t="s">
        <v>151</v>
      </c>
      <c r="H5" s="14" t="s">
        <v>902</v>
      </c>
      <c r="I5" t="s">
        <v>156</v>
      </c>
      <c r="J5" s="11" t="s">
        <v>157</v>
      </c>
      <c r="K5" s="13">
        <f>M5</f>
        <v>159</v>
      </c>
      <c r="L5" s="13">
        <v>1700</v>
      </c>
      <c r="M5" s="13">
        <v>159</v>
      </c>
      <c r="N5" s="13"/>
      <c r="O5" s="13">
        <v>437.47</v>
      </c>
      <c r="P5" s="13">
        <v>0</v>
      </c>
      <c r="Q5" s="13">
        <v>0</v>
      </c>
      <c r="R5" s="13">
        <v>0</v>
      </c>
      <c r="S5" s="13">
        <v>27.81</v>
      </c>
      <c r="T5" s="13">
        <v>0</v>
      </c>
      <c r="U5" s="13">
        <v>0</v>
      </c>
      <c r="V5" s="13">
        <v>0</v>
      </c>
    </row>
    <row r="6" spans="1:22">
      <c r="A6" t="s">
        <v>158</v>
      </c>
      <c r="B6">
        <v>1</v>
      </c>
      <c r="C6" t="s">
        <v>144</v>
      </c>
      <c r="D6">
        <v>3</v>
      </c>
      <c r="E6" t="s">
        <v>145</v>
      </c>
      <c r="F6">
        <v>3</v>
      </c>
      <c r="G6" s="19" t="s">
        <v>159</v>
      </c>
      <c r="H6" s="14" t="s">
        <v>902</v>
      </c>
      <c r="I6" t="s">
        <v>160</v>
      </c>
      <c r="J6" s="11" t="s">
        <v>149</v>
      </c>
      <c r="K6" s="13">
        <f t="shared" ref="K6:K15" si="0">L6</f>
        <v>380</v>
      </c>
      <c r="L6" s="13">
        <v>380</v>
      </c>
      <c r="M6" s="13"/>
      <c r="N6" s="13"/>
      <c r="O6" s="13">
        <v>1574.97</v>
      </c>
      <c r="P6" s="13">
        <v>0</v>
      </c>
      <c r="Q6" s="13">
        <v>0</v>
      </c>
      <c r="R6" s="13">
        <v>0</v>
      </c>
      <c r="S6" s="13">
        <v>257.77</v>
      </c>
      <c r="T6" s="13">
        <v>0</v>
      </c>
      <c r="U6" s="13">
        <v>0</v>
      </c>
      <c r="V6" s="13">
        <v>0</v>
      </c>
    </row>
    <row r="7" spans="1:22">
      <c r="A7" t="s">
        <v>161</v>
      </c>
      <c r="B7">
        <v>1</v>
      </c>
      <c r="C7" t="s">
        <v>144</v>
      </c>
      <c r="D7">
        <v>3</v>
      </c>
      <c r="E7" t="s">
        <v>145</v>
      </c>
      <c r="F7">
        <v>3</v>
      </c>
      <c r="G7" s="19" t="s">
        <v>159</v>
      </c>
      <c r="H7" s="14" t="s">
        <v>902</v>
      </c>
      <c r="I7" t="s">
        <v>162</v>
      </c>
      <c r="J7" s="11" t="s">
        <v>149</v>
      </c>
      <c r="K7" s="13">
        <f t="shared" si="0"/>
        <v>472</v>
      </c>
      <c r="L7" s="13">
        <v>472</v>
      </c>
      <c r="M7" s="13"/>
      <c r="N7" s="13"/>
      <c r="O7" s="13">
        <v>2336.14</v>
      </c>
      <c r="P7" s="13">
        <v>0</v>
      </c>
      <c r="Q7" s="13">
        <v>0</v>
      </c>
      <c r="R7" s="13">
        <v>0</v>
      </c>
      <c r="S7" s="13">
        <v>355.35</v>
      </c>
      <c r="T7" s="13">
        <v>0</v>
      </c>
      <c r="U7" s="13">
        <v>0</v>
      </c>
      <c r="V7" s="13">
        <v>0</v>
      </c>
    </row>
    <row r="8" spans="1:22">
      <c r="A8" t="s">
        <v>163</v>
      </c>
      <c r="B8">
        <v>1</v>
      </c>
      <c r="C8" t="s">
        <v>144</v>
      </c>
      <c r="D8">
        <v>3</v>
      </c>
      <c r="E8" t="s">
        <v>145</v>
      </c>
      <c r="F8">
        <v>3</v>
      </c>
      <c r="G8" s="19" t="s">
        <v>159</v>
      </c>
      <c r="H8" s="14" t="s">
        <v>902</v>
      </c>
      <c r="I8" t="s">
        <v>164</v>
      </c>
      <c r="J8" s="11" t="s">
        <v>149</v>
      </c>
      <c r="K8" s="13">
        <f t="shared" si="0"/>
        <v>500</v>
      </c>
      <c r="L8" s="13">
        <v>500</v>
      </c>
      <c r="M8" s="13"/>
      <c r="N8" s="13"/>
      <c r="O8" s="13">
        <v>1908.32</v>
      </c>
      <c r="P8" s="13">
        <v>0</v>
      </c>
      <c r="Q8" s="13">
        <v>0</v>
      </c>
      <c r="R8" s="13">
        <v>0</v>
      </c>
      <c r="S8" s="13">
        <v>313.38</v>
      </c>
      <c r="T8" s="13">
        <v>0</v>
      </c>
      <c r="U8" s="13">
        <v>0</v>
      </c>
      <c r="V8" s="13">
        <v>0</v>
      </c>
    </row>
    <row r="9" spans="1:22">
      <c r="A9" t="s">
        <v>165</v>
      </c>
      <c r="B9">
        <v>1</v>
      </c>
      <c r="C9" t="s">
        <v>144</v>
      </c>
      <c r="D9">
        <v>3</v>
      </c>
      <c r="E9" t="s">
        <v>145</v>
      </c>
      <c r="F9">
        <v>4</v>
      </c>
      <c r="G9" s="19" t="s">
        <v>166</v>
      </c>
      <c r="H9" s="14" t="s">
        <v>902</v>
      </c>
      <c r="I9" t="s">
        <v>167</v>
      </c>
      <c r="J9" s="11" t="s">
        <v>149</v>
      </c>
      <c r="K9" s="13">
        <f t="shared" si="0"/>
        <v>500</v>
      </c>
      <c r="L9" s="13">
        <v>500</v>
      </c>
      <c r="M9" s="13"/>
      <c r="N9" s="13"/>
      <c r="O9" s="13">
        <v>403.97</v>
      </c>
      <c r="P9" s="13">
        <v>0</v>
      </c>
      <c r="Q9" s="13">
        <v>0</v>
      </c>
      <c r="R9" s="13">
        <v>0</v>
      </c>
      <c r="S9" s="13">
        <v>63.62</v>
      </c>
      <c r="T9" s="13">
        <v>0</v>
      </c>
      <c r="U9" s="13">
        <v>0</v>
      </c>
      <c r="V9" s="13">
        <v>0</v>
      </c>
    </row>
    <row r="10" spans="1:22" ht="14.1" customHeight="1">
      <c r="A10" t="s">
        <v>168</v>
      </c>
      <c r="B10">
        <v>1</v>
      </c>
      <c r="C10" t="s">
        <v>144</v>
      </c>
      <c r="D10">
        <v>3</v>
      </c>
      <c r="E10" t="s">
        <v>145</v>
      </c>
      <c r="F10">
        <v>4</v>
      </c>
      <c r="G10" s="19" t="s">
        <v>166</v>
      </c>
      <c r="H10" s="14" t="s">
        <v>902</v>
      </c>
      <c r="I10" s="12" t="s">
        <v>169</v>
      </c>
      <c r="J10" s="11" t="s">
        <v>149</v>
      </c>
      <c r="K10" s="13">
        <f t="shared" si="0"/>
        <v>900</v>
      </c>
      <c r="L10" s="13">
        <v>900</v>
      </c>
      <c r="M10" s="13"/>
      <c r="N10" s="13"/>
      <c r="O10" s="13">
        <v>685.54</v>
      </c>
      <c r="P10" s="13">
        <v>0</v>
      </c>
      <c r="Q10" s="13">
        <v>0</v>
      </c>
      <c r="R10" s="13">
        <v>0</v>
      </c>
      <c r="S10" s="13">
        <v>112.28</v>
      </c>
      <c r="T10" s="13">
        <v>0</v>
      </c>
      <c r="U10" s="13">
        <v>0</v>
      </c>
      <c r="V10" s="13">
        <v>0</v>
      </c>
    </row>
    <row r="11" spans="1:22" ht="14.1" customHeight="1">
      <c r="A11" t="s">
        <v>170</v>
      </c>
      <c r="B11">
        <v>1</v>
      </c>
      <c r="C11" t="s">
        <v>144</v>
      </c>
      <c r="D11">
        <v>3</v>
      </c>
      <c r="E11" t="s">
        <v>145</v>
      </c>
      <c r="F11">
        <v>4</v>
      </c>
      <c r="G11" s="19" t="s">
        <v>166</v>
      </c>
      <c r="H11" s="14" t="s">
        <v>902</v>
      </c>
      <c r="I11" s="12" t="s">
        <v>171</v>
      </c>
      <c r="J11" s="11" t="s">
        <v>149</v>
      </c>
      <c r="K11" s="13">
        <f t="shared" si="0"/>
        <v>1601</v>
      </c>
      <c r="L11" s="13">
        <v>1601</v>
      </c>
      <c r="M11" s="13"/>
      <c r="N11" s="13"/>
      <c r="O11" s="13">
        <v>5506.07</v>
      </c>
      <c r="P11" s="13">
        <v>0</v>
      </c>
      <c r="Q11" s="13">
        <v>0</v>
      </c>
      <c r="R11" s="13">
        <v>0</v>
      </c>
      <c r="S11" s="13">
        <v>581.30999999999995</v>
      </c>
      <c r="T11" s="13">
        <v>0</v>
      </c>
      <c r="U11" s="13">
        <v>0</v>
      </c>
      <c r="V11" s="13">
        <v>0</v>
      </c>
    </row>
    <row r="12" spans="1:22" ht="14.1" customHeight="1">
      <c r="A12" t="s">
        <v>172</v>
      </c>
      <c r="B12">
        <v>1</v>
      </c>
      <c r="C12" t="s">
        <v>144</v>
      </c>
      <c r="D12">
        <v>3</v>
      </c>
      <c r="E12" t="s">
        <v>145</v>
      </c>
      <c r="F12">
        <v>4</v>
      </c>
      <c r="G12" s="19" t="s">
        <v>166</v>
      </c>
      <c r="H12" s="14" t="s">
        <v>902</v>
      </c>
      <c r="I12" s="12" t="s">
        <v>173</v>
      </c>
      <c r="J12" s="11" t="s">
        <v>149</v>
      </c>
      <c r="K12" s="13">
        <f t="shared" si="0"/>
        <v>501</v>
      </c>
      <c r="L12" s="13">
        <v>501</v>
      </c>
      <c r="M12" s="13"/>
      <c r="N12" s="13"/>
      <c r="O12" s="13">
        <v>2364.0700000000002</v>
      </c>
      <c r="P12" s="13">
        <v>0</v>
      </c>
      <c r="Q12" s="13">
        <v>0</v>
      </c>
      <c r="R12" s="13">
        <v>0</v>
      </c>
      <c r="S12" s="13">
        <v>263.67</v>
      </c>
      <c r="T12" s="13">
        <v>0</v>
      </c>
      <c r="U12" s="13">
        <v>0</v>
      </c>
      <c r="V12" s="13">
        <v>0</v>
      </c>
    </row>
    <row r="13" spans="1:22" ht="14.1" customHeight="1">
      <c r="A13" t="s">
        <v>174</v>
      </c>
      <c r="B13">
        <v>1</v>
      </c>
      <c r="C13" t="s">
        <v>144</v>
      </c>
      <c r="D13">
        <v>3</v>
      </c>
      <c r="E13" t="s">
        <v>145</v>
      </c>
      <c r="F13">
        <v>4</v>
      </c>
      <c r="G13" s="19" t="s">
        <v>166</v>
      </c>
      <c r="H13" s="14" t="s">
        <v>902</v>
      </c>
      <c r="I13" s="12" t="s">
        <v>175</v>
      </c>
      <c r="J13" s="11" t="s">
        <v>149</v>
      </c>
      <c r="K13" s="13">
        <f t="shared" si="0"/>
        <v>701</v>
      </c>
      <c r="L13" s="13">
        <v>701</v>
      </c>
      <c r="M13" s="13"/>
      <c r="N13" s="13"/>
      <c r="O13" s="13">
        <v>2910.69</v>
      </c>
      <c r="P13" s="13">
        <v>0</v>
      </c>
      <c r="Q13" s="13">
        <v>0</v>
      </c>
      <c r="R13" s="13">
        <v>0</v>
      </c>
      <c r="S13" s="13">
        <v>323.83999999999997</v>
      </c>
      <c r="T13" s="13">
        <v>0</v>
      </c>
      <c r="U13" s="13">
        <v>0</v>
      </c>
      <c r="V13" s="13">
        <v>0</v>
      </c>
    </row>
    <row r="14" spans="1:22" ht="14.1" customHeight="1">
      <c r="A14" t="s">
        <v>176</v>
      </c>
      <c r="B14">
        <v>1</v>
      </c>
      <c r="C14" t="s">
        <v>144</v>
      </c>
      <c r="D14">
        <v>3</v>
      </c>
      <c r="E14" t="s">
        <v>145</v>
      </c>
      <c r="F14">
        <v>4</v>
      </c>
      <c r="G14" s="19" t="s">
        <v>166</v>
      </c>
      <c r="H14" s="14" t="s">
        <v>902</v>
      </c>
      <c r="I14" s="12" t="s">
        <v>177</v>
      </c>
      <c r="J14" s="11" t="s">
        <v>149</v>
      </c>
      <c r="K14" s="13">
        <f t="shared" si="0"/>
        <v>1400</v>
      </c>
      <c r="L14" s="13">
        <v>1400</v>
      </c>
      <c r="M14" s="13"/>
      <c r="N14" s="13"/>
      <c r="O14" s="13">
        <v>2691.77</v>
      </c>
      <c r="P14" s="13">
        <v>0</v>
      </c>
      <c r="Q14" s="13">
        <v>0</v>
      </c>
      <c r="R14" s="13">
        <v>0</v>
      </c>
      <c r="S14" s="13">
        <v>491.54</v>
      </c>
      <c r="T14" s="13">
        <v>0</v>
      </c>
      <c r="U14" s="13">
        <v>0</v>
      </c>
      <c r="V14" s="13">
        <v>0</v>
      </c>
    </row>
    <row r="15" spans="1:22">
      <c r="A15" t="s">
        <v>178</v>
      </c>
      <c r="B15">
        <v>1</v>
      </c>
      <c r="C15" t="s">
        <v>144</v>
      </c>
      <c r="D15">
        <v>3</v>
      </c>
      <c r="E15" t="s">
        <v>145</v>
      </c>
      <c r="F15">
        <v>5</v>
      </c>
      <c r="G15" s="19" t="s">
        <v>179</v>
      </c>
      <c r="H15" s="14" t="s">
        <v>902</v>
      </c>
      <c r="I15" t="s">
        <v>180</v>
      </c>
      <c r="J15" s="11" t="s">
        <v>149</v>
      </c>
      <c r="K15" s="13">
        <f t="shared" si="0"/>
        <v>2000</v>
      </c>
      <c r="L15" s="13">
        <v>2000</v>
      </c>
      <c r="M15" s="13"/>
      <c r="N15" s="13"/>
      <c r="O15" s="13">
        <v>1555.85</v>
      </c>
      <c r="P15" s="13">
        <v>0</v>
      </c>
      <c r="Q15" s="13">
        <v>0</v>
      </c>
      <c r="R15" s="13">
        <v>0</v>
      </c>
      <c r="S15" s="13">
        <v>315.3</v>
      </c>
      <c r="T15" s="13">
        <v>0</v>
      </c>
      <c r="U15" s="13">
        <v>0</v>
      </c>
      <c r="V15" s="13">
        <v>0</v>
      </c>
    </row>
    <row r="16" spans="1:22">
      <c r="A16" t="s">
        <v>181</v>
      </c>
      <c r="B16">
        <v>1</v>
      </c>
      <c r="C16" t="s">
        <v>144</v>
      </c>
      <c r="D16">
        <v>3</v>
      </c>
      <c r="E16" t="s">
        <v>145</v>
      </c>
      <c r="F16">
        <v>5</v>
      </c>
      <c r="G16" s="19" t="s">
        <v>179</v>
      </c>
      <c r="H16" s="14" t="s">
        <v>902</v>
      </c>
      <c r="I16" t="s">
        <v>182</v>
      </c>
      <c r="J16" s="11" t="s">
        <v>157</v>
      </c>
      <c r="K16" s="13">
        <f t="shared" ref="K16:K24" si="1">M16</f>
        <v>504</v>
      </c>
      <c r="L16" s="13">
        <f>M16*5</f>
        <v>2520</v>
      </c>
      <c r="M16" s="13">
        <v>504</v>
      </c>
      <c r="N16" s="13"/>
      <c r="O16" s="13">
        <v>680.58</v>
      </c>
      <c r="P16" s="13">
        <v>0</v>
      </c>
      <c r="Q16" s="13">
        <v>0</v>
      </c>
      <c r="R16" s="13">
        <v>0</v>
      </c>
      <c r="S16" s="13">
        <v>117.13</v>
      </c>
      <c r="T16" s="13">
        <v>0</v>
      </c>
      <c r="U16" s="13">
        <v>0</v>
      </c>
      <c r="V16" s="13">
        <v>0</v>
      </c>
    </row>
    <row r="17" spans="1:22">
      <c r="A17" t="s">
        <v>183</v>
      </c>
      <c r="B17">
        <v>1</v>
      </c>
      <c r="C17" t="s">
        <v>144</v>
      </c>
      <c r="D17">
        <v>3</v>
      </c>
      <c r="E17" t="s">
        <v>145</v>
      </c>
      <c r="F17">
        <v>5</v>
      </c>
      <c r="G17" s="19" t="s">
        <v>179</v>
      </c>
      <c r="H17" s="14" t="s">
        <v>902</v>
      </c>
      <c r="I17" t="s">
        <v>184</v>
      </c>
      <c r="J17" s="11" t="s">
        <v>157</v>
      </c>
      <c r="K17" s="13">
        <f t="shared" si="1"/>
        <v>291.3</v>
      </c>
      <c r="L17" s="13">
        <f>M17/12*100</f>
        <v>2427.5</v>
      </c>
      <c r="M17" s="13">
        <v>291.3</v>
      </c>
      <c r="N17" s="13"/>
      <c r="O17" s="13">
        <v>262.57</v>
      </c>
      <c r="P17" s="13">
        <v>0</v>
      </c>
      <c r="Q17" s="13">
        <v>0</v>
      </c>
      <c r="R17" s="13">
        <v>0</v>
      </c>
      <c r="S17" s="13">
        <v>50.34</v>
      </c>
      <c r="T17" s="13">
        <v>0</v>
      </c>
      <c r="U17" s="13">
        <v>0</v>
      </c>
      <c r="V17" s="13">
        <v>0</v>
      </c>
    </row>
    <row r="18" spans="1:22" ht="14.1" customHeight="1">
      <c r="A18" t="s">
        <v>185</v>
      </c>
      <c r="B18">
        <v>1</v>
      </c>
      <c r="C18" t="s">
        <v>144</v>
      </c>
      <c r="D18">
        <v>3</v>
      </c>
      <c r="E18" t="s">
        <v>145</v>
      </c>
      <c r="F18">
        <v>8</v>
      </c>
      <c r="G18" t="s">
        <v>186</v>
      </c>
      <c r="H18" s="14" t="s">
        <v>902</v>
      </c>
      <c r="I18" s="12" t="s">
        <v>187</v>
      </c>
      <c r="J18" s="11" t="s">
        <v>157</v>
      </c>
      <c r="K18" s="13">
        <f t="shared" si="1"/>
        <v>52</v>
      </c>
      <c r="L18" s="13"/>
      <c r="M18" s="13">
        <v>52</v>
      </c>
      <c r="N18" s="13"/>
      <c r="O18" s="13">
        <v>291.95999999999998</v>
      </c>
      <c r="P18" s="13">
        <v>0</v>
      </c>
      <c r="Q18" s="13">
        <v>0</v>
      </c>
      <c r="R18" s="13">
        <v>0</v>
      </c>
      <c r="S18" s="13">
        <v>22.28</v>
      </c>
      <c r="T18" s="13">
        <v>0</v>
      </c>
      <c r="U18" s="13">
        <v>0</v>
      </c>
      <c r="V18" s="13">
        <v>0</v>
      </c>
    </row>
    <row r="19" spans="1:22" ht="14.1" customHeight="1">
      <c r="A19" t="s">
        <v>188</v>
      </c>
      <c r="B19">
        <v>1</v>
      </c>
      <c r="C19" t="s">
        <v>144</v>
      </c>
      <c r="D19">
        <v>3</v>
      </c>
      <c r="E19" t="s">
        <v>145</v>
      </c>
      <c r="F19">
        <v>8</v>
      </c>
      <c r="G19" t="s">
        <v>186</v>
      </c>
      <c r="H19" s="14" t="s">
        <v>902</v>
      </c>
      <c r="I19" s="12" t="s">
        <v>189</v>
      </c>
      <c r="J19" s="11" t="s">
        <v>157</v>
      </c>
      <c r="K19" s="13">
        <f t="shared" si="1"/>
        <v>78</v>
      </c>
      <c r="L19" s="13"/>
      <c r="M19" s="13">
        <v>78</v>
      </c>
      <c r="N19" s="13"/>
      <c r="O19" s="13">
        <v>578.74</v>
      </c>
      <c r="P19" s="13">
        <v>0</v>
      </c>
      <c r="Q19" s="13">
        <v>0</v>
      </c>
      <c r="R19" s="13">
        <v>0</v>
      </c>
      <c r="S19" s="13">
        <v>44.16</v>
      </c>
      <c r="T19" s="13">
        <v>0</v>
      </c>
      <c r="U19" s="13">
        <v>0</v>
      </c>
      <c r="V19" s="13">
        <v>0</v>
      </c>
    </row>
    <row r="20" spans="1:22" ht="14.1" customHeight="1">
      <c r="A20" t="s">
        <v>190</v>
      </c>
      <c r="B20">
        <v>1</v>
      </c>
      <c r="C20" t="s">
        <v>144</v>
      </c>
      <c r="D20">
        <v>3</v>
      </c>
      <c r="E20" t="s">
        <v>145</v>
      </c>
      <c r="F20">
        <v>8</v>
      </c>
      <c r="G20" t="s">
        <v>186</v>
      </c>
      <c r="H20" s="14" t="s">
        <v>902</v>
      </c>
      <c r="I20" s="12" t="s">
        <v>191</v>
      </c>
      <c r="J20" s="11" t="s">
        <v>157</v>
      </c>
      <c r="K20" s="13">
        <f t="shared" si="1"/>
        <v>52</v>
      </c>
      <c r="L20" s="13"/>
      <c r="M20" s="13">
        <v>52</v>
      </c>
      <c r="N20" s="13"/>
      <c r="O20" s="13">
        <v>565.12</v>
      </c>
      <c r="P20" s="13">
        <v>0</v>
      </c>
      <c r="Q20" s="13">
        <v>0</v>
      </c>
      <c r="R20" s="13">
        <v>0</v>
      </c>
      <c r="S20" s="13">
        <v>43.13</v>
      </c>
      <c r="T20" s="13">
        <v>0</v>
      </c>
      <c r="U20" s="13">
        <v>0</v>
      </c>
      <c r="V20" s="13">
        <v>0</v>
      </c>
    </row>
    <row r="21" spans="1:22" ht="14.1" customHeight="1">
      <c r="A21" t="s">
        <v>192</v>
      </c>
      <c r="B21">
        <v>1</v>
      </c>
      <c r="C21" t="s">
        <v>144</v>
      </c>
      <c r="D21">
        <v>3</v>
      </c>
      <c r="E21" t="s">
        <v>145</v>
      </c>
      <c r="F21">
        <v>8</v>
      </c>
      <c r="G21" t="s">
        <v>186</v>
      </c>
      <c r="H21" s="14" t="s">
        <v>902</v>
      </c>
      <c r="I21" s="12" t="s">
        <v>193</v>
      </c>
      <c r="J21" s="11" t="s">
        <v>157</v>
      </c>
      <c r="K21" s="13">
        <f t="shared" si="1"/>
        <v>104</v>
      </c>
      <c r="L21" s="13"/>
      <c r="M21" s="13">
        <v>104</v>
      </c>
      <c r="N21" s="13"/>
      <c r="O21" s="13">
        <v>294.92</v>
      </c>
      <c r="P21" s="13">
        <v>0</v>
      </c>
      <c r="Q21" s="13">
        <v>0</v>
      </c>
      <c r="R21" s="13">
        <v>0</v>
      </c>
      <c r="S21" s="13">
        <v>22.49</v>
      </c>
      <c r="T21" s="13">
        <v>0</v>
      </c>
      <c r="U21" s="13">
        <v>0</v>
      </c>
      <c r="V21" s="13">
        <v>0</v>
      </c>
    </row>
    <row r="22" spans="1:22" ht="14.1" customHeight="1">
      <c r="A22" t="s">
        <v>194</v>
      </c>
      <c r="B22">
        <v>1</v>
      </c>
      <c r="C22" t="s">
        <v>144</v>
      </c>
      <c r="D22">
        <v>3</v>
      </c>
      <c r="E22" t="s">
        <v>145</v>
      </c>
      <c r="F22">
        <v>8</v>
      </c>
      <c r="G22" t="s">
        <v>186</v>
      </c>
      <c r="H22" s="14" t="s">
        <v>902</v>
      </c>
      <c r="I22" s="12" t="s">
        <v>195</v>
      </c>
      <c r="J22" s="11" t="s">
        <v>157</v>
      </c>
      <c r="K22" s="13">
        <f t="shared" si="1"/>
        <v>52</v>
      </c>
      <c r="L22" s="13"/>
      <c r="M22" s="13">
        <v>52</v>
      </c>
      <c r="N22" s="13"/>
      <c r="O22" s="13">
        <v>267.68</v>
      </c>
      <c r="P22" s="13">
        <v>0</v>
      </c>
      <c r="Q22" s="13">
        <v>0</v>
      </c>
      <c r="R22" s="13">
        <v>0</v>
      </c>
      <c r="S22" s="13">
        <v>20.43</v>
      </c>
      <c r="T22" s="13">
        <v>0</v>
      </c>
      <c r="U22" s="13">
        <v>0</v>
      </c>
      <c r="V22" s="13">
        <v>0</v>
      </c>
    </row>
    <row r="23" spans="1:22">
      <c r="A23" t="s">
        <v>196</v>
      </c>
      <c r="B23">
        <v>1</v>
      </c>
      <c r="C23" t="s">
        <v>144</v>
      </c>
      <c r="D23">
        <v>3</v>
      </c>
      <c r="E23" t="s">
        <v>145</v>
      </c>
      <c r="F23">
        <v>10</v>
      </c>
      <c r="G23" t="s">
        <v>197</v>
      </c>
      <c r="H23" s="14" t="s">
        <v>902</v>
      </c>
      <c r="I23" t="s">
        <v>198</v>
      </c>
      <c r="J23" s="11" t="s">
        <v>157</v>
      </c>
      <c r="K23" s="13">
        <f t="shared" si="1"/>
        <v>45</v>
      </c>
      <c r="L23" s="13"/>
      <c r="M23" s="13">
        <v>45</v>
      </c>
      <c r="N23" s="13"/>
      <c r="O23" s="13">
        <v>249.91</v>
      </c>
      <c r="P23" s="13">
        <v>0</v>
      </c>
      <c r="Q23" s="13">
        <v>0</v>
      </c>
      <c r="R23" s="13">
        <v>0</v>
      </c>
      <c r="S23" s="13">
        <v>16.68</v>
      </c>
      <c r="T23" s="13">
        <v>0</v>
      </c>
      <c r="U23" s="13">
        <v>0</v>
      </c>
      <c r="V23" s="13">
        <v>0</v>
      </c>
    </row>
    <row r="24" spans="1:22">
      <c r="A24" t="s">
        <v>199</v>
      </c>
      <c r="B24">
        <v>1</v>
      </c>
      <c r="C24" t="s">
        <v>144</v>
      </c>
      <c r="D24">
        <v>3</v>
      </c>
      <c r="E24" t="s">
        <v>145</v>
      </c>
      <c r="F24">
        <v>11</v>
      </c>
      <c r="G24" s="19" t="s">
        <v>200</v>
      </c>
      <c r="H24" s="14" t="s">
        <v>902</v>
      </c>
      <c r="I24" t="s">
        <v>201</v>
      </c>
      <c r="J24" s="11" t="s">
        <v>157</v>
      </c>
      <c r="K24" s="13">
        <f t="shared" si="1"/>
        <v>42</v>
      </c>
      <c r="L24" s="13"/>
      <c r="M24" s="13">
        <v>42</v>
      </c>
      <c r="N24" s="13"/>
      <c r="O24" s="13">
        <v>133.35</v>
      </c>
      <c r="P24" s="13">
        <v>0</v>
      </c>
      <c r="Q24" s="13">
        <v>0</v>
      </c>
      <c r="R24" s="13">
        <v>0</v>
      </c>
      <c r="S24" s="13">
        <v>17.87</v>
      </c>
      <c r="T24" s="13">
        <v>0</v>
      </c>
      <c r="U24" s="13">
        <v>0</v>
      </c>
      <c r="V24" s="13">
        <v>0</v>
      </c>
    </row>
    <row r="25" spans="1:22" ht="14.1" customHeight="1">
      <c r="A25" t="s">
        <v>202</v>
      </c>
      <c r="B25">
        <v>1</v>
      </c>
      <c r="C25" t="s">
        <v>144</v>
      </c>
      <c r="D25">
        <v>3</v>
      </c>
      <c r="E25" t="s">
        <v>145</v>
      </c>
      <c r="F25">
        <v>12</v>
      </c>
      <c r="G25" s="19" t="s">
        <v>203</v>
      </c>
      <c r="H25" s="14" t="s">
        <v>902</v>
      </c>
      <c r="I25" s="12" t="s">
        <v>204</v>
      </c>
      <c r="J25" s="11" t="s">
        <v>157</v>
      </c>
      <c r="K25" s="13"/>
      <c r="L25" s="13">
        <v>1300</v>
      </c>
      <c r="M25" s="13"/>
      <c r="N25" s="13"/>
      <c r="O25" s="13">
        <v>106.46</v>
      </c>
      <c r="P25" s="13">
        <v>0</v>
      </c>
      <c r="Q25" s="13">
        <v>0</v>
      </c>
      <c r="R25" s="13">
        <v>0</v>
      </c>
      <c r="S25" s="13">
        <v>10.07</v>
      </c>
      <c r="T25" s="13">
        <v>0</v>
      </c>
      <c r="U25" s="13">
        <v>0</v>
      </c>
      <c r="V25" s="13">
        <v>0</v>
      </c>
    </row>
    <row r="26" spans="1:22" ht="14.1" customHeight="1">
      <c r="A26" t="s">
        <v>205</v>
      </c>
      <c r="B26">
        <v>1</v>
      </c>
      <c r="C26" t="s">
        <v>144</v>
      </c>
      <c r="D26">
        <v>3</v>
      </c>
      <c r="E26" t="s">
        <v>145</v>
      </c>
      <c r="F26">
        <v>13</v>
      </c>
      <c r="G26" t="s">
        <v>206</v>
      </c>
      <c r="H26" s="14" t="s">
        <v>902</v>
      </c>
      <c r="I26" s="12" t="s">
        <v>207</v>
      </c>
      <c r="J26" s="11" t="s">
        <v>157</v>
      </c>
      <c r="K26" s="13">
        <v>10</v>
      </c>
      <c r="L26" s="13"/>
      <c r="M26" s="13">
        <v>10</v>
      </c>
      <c r="N26" s="13"/>
      <c r="O26" s="13">
        <v>45.42</v>
      </c>
      <c r="P26" s="13">
        <v>0</v>
      </c>
      <c r="Q26" s="13">
        <v>0</v>
      </c>
      <c r="R26" s="13">
        <v>0</v>
      </c>
      <c r="S26" s="13">
        <v>2.2999999999999998</v>
      </c>
      <c r="T26" s="13">
        <v>0</v>
      </c>
      <c r="U26" s="13">
        <v>0</v>
      </c>
      <c r="V26" s="13">
        <v>0</v>
      </c>
    </row>
    <row r="27" spans="1:22" ht="14.1" customHeight="1">
      <c r="A27" t="s">
        <v>208</v>
      </c>
      <c r="B27">
        <v>1</v>
      </c>
      <c r="C27" t="s">
        <v>144</v>
      </c>
      <c r="D27">
        <v>3</v>
      </c>
      <c r="E27" t="s">
        <v>145</v>
      </c>
      <c r="F27">
        <v>13</v>
      </c>
      <c r="G27" t="s">
        <v>206</v>
      </c>
      <c r="H27" s="14" t="s">
        <v>902</v>
      </c>
      <c r="I27" s="12" t="s">
        <v>209</v>
      </c>
      <c r="J27" s="11" t="s">
        <v>157</v>
      </c>
      <c r="K27" s="13">
        <v>10</v>
      </c>
      <c r="L27" s="13"/>
      <c r="M27" s="13">
        <v>10</v>
      </c>
      <c r="N27" s="13"/>
      <c r="O27" s="13">
        <v>47.51</v>
      </c>
      <c r="P27" s="13">
        <v>0</v>
      </c>
      <c r="Q27" s="13">
        <v>0</v>
      </c>
      <c r="R27" s="13">
        <v>0</v>
      </c>
      <c r="S27" s="13">
        <v>2.4500000000000002</v>
      </c>
      <c r="T27" s="13">
        <v>0</v>
      </c>
      <c r="U27" s="13">
        <v>0</v>
      </c>
      <c r="V27" s="13">
        <v>0</v>
      </c>
    </row>
    <row r="28" spans="1:22" ht="14.1" customHeight="1">
      <c r="A28" t="s">
        <v>210</v>
      </c>
      <c r="B28">
        <v>1</v>
      </c>
      <c r="C28" t="s">
        <v>144</v>
      </c>
      <c r="D28">
        <v>3</v>
      </c>
      <c r="E28" t="s">
        <v>145</v>
      </c>
      <c r="F28">
        <v>13</v>
      </c>
      <c r="G28" t="s">
        <v>206</v>
      </c>
      <c r="H28" s="14" t="s">
        <v>902</v>
      </c>
      <c r="I28" s="12" t="s">
        <v>211</v>
      </c>
      <c r="J28" s="11" t="s">
        <v>157</v>
      </c>
      <c r="K28" s="13">
        <v>10</v>
      </c>
      <c r="L28" s="13"/>
      <c r="M28" s="13">
        <v>10</v>
      </c>
      <c r="N28" s="13"/>
      <c r="O28" s="13">
        <v>65.3</v>
      </c>
      <c r="P28" s="13">
        <v>0</v>
      </c>
      <c r="Q28" s="13">
        <v>0</v>
      </c>
      <c r="R28" s="13">
        <v>0</v>
      </c>
      <c r="S28" s="13">
        <v>4.4000000000000004</v>
      </c>
      <c r="T28" s="13">
        <v>0</v>
      </c>
      <c r="U28" s="13">
        <v>0</v>
      </c>
      <c r="V28" s="13">
        <v>0</v>
      </c>
    </row>
    <row r="29" spans="1:22" ht="14.1" customHeight="1">
      <c r="A29" t="s">
        <v>212</v>
      </c>
      <c r="B29">
        <v>1</v>
      </c>
      <c r="C29" t="s">
        <v>144</v>
      </c>
      <c r="D29">
        <v>3</v>
      </c>
      <c r="E29" t="s">
        <v>145</v>
      </c>
      <c r="F29">
        <v>17</v>
      </c>
      <c r="G29" t="s">
        <v>213</v>
      </c>
      <c r="H29" s="14" t="s">
        <v>902</v>
      </c>
      <c r="I29" s="12" t="s">
        <v>214</v>
      </c>
      <c r="J29" s="11" t="s">
        <v>149</v>
      </c>
      <c r="K29" s="13">
        <f t="shared" ref="K29:K35" si="2">L29</f>
        <v>1200</v>
      </c>
      <c r="L29" s="13">
        <v>1200</v>
      </c>
      <c r="M29" s="13"/>
      <c r="N29" s="13"/>
      <c r="O29" s="13">
        <v>151.88</v>
      </c>
      <c r="P29" s="13">
        <v>0</v>
      </c>
      <c r="Q29" s="13">
        <v>0</v>
      </c>
      <c r="R29" s="13">
        <v>0</v>
      </c>
      <c r="S29" s="13">
        <v>132.80000000000001</v>
      </c>
      <c r="T29" s="13">
        <v>0</v>
      </c>
      <c r="U29" s="13">
        <v>0</v>
      </c>
      <c r="V29" s="13">
        <v>0</v>
      </c>
    </row>
    <row r="30" spans="1:22" ht="14.1" customHeight="1">
      <c r="A30" t="s">
        <v>215</v>
      </c>
      <c r="B30">
        <v>1</v>
      </c>
      <c r="C30" t="s">
        <v>144</v>
      </c>
      <c r="D30">
        <v>3</v>
      </c>
      <c r="E30" t="s">
        <v>145</v>
      </c>
      <c r="F30">
        <v>17</v>
      </c>
      <c r="G30" t="s">
        <v>213</v>
      </c>
      <c r="H30" s="14" t="s">
        <v>902</v>
      </c>
      <c r="I30" s="12" t="s">
        <v>216</v>
      </c>
      <c r="J30" s="11" t="s">
        <v>149</v>
      </c>
      <c r="K30" s="13">
        <f t="shared" si="2"/>
        <v>2000</v>
      </c>
      <c r="L30" s="13">
        <v>2000</v>
      </c>
      <c r="M30" s="13"/>
      <c r="N30" s="13"/>
      <c r="O30" s="13">
        <v>168.53</v>
      </c>
      <c r="P30" s="13">
        <v>0</v>
      </c>
      <c r="Q30" s="13">
        <v>0</v>
      </c>
      <c r="R30" s="13">
        <v>0</v>
      </c>
      <c r="S30" s="13">
        <v>13.48</v>
      </c>
      <c r="T30" s="13">
        <v>0</v>
      </c>
      <c r="U30" s="13">
        <v>0</v>
      </c>
      <c r="V30" s="13">
        <v>0</v>
      </c>
    </row>
    <row r="31" spans="1:22">
      <c r="A31" t="s">
        <v>217</v>
      </c>
      <c r="B31">
        <v>1</v>
      </c>
      <c r="C31" t="s">
        <v>144</v>
      </c>
      <c r="D31">
        <v>4</v>
      </c>
      <c r="E31" t="s">
        <v>218</v>
      </c>
      <c r="F31">
        <v>1</v>
      </c>
      <c r="G31" s="19" t="s">
        <v>219</v>
      </c>
      <c r="H31" s="14" t="s">
        <v>902</v>
      </c>
      <c r="I31" t="s">
        <v>220</v>
      </c>
      <c r="J31" s="11" t="s">
        <v>149</v>
      </c>
      <c r="K31" s="13">
        <f t="shared" si="2"/>
        <v>2297</v>
      </c>
      <c r="L31" s="13">
        <v>2297</v>
      </c>
      <c r="M31" s="13"/>
      <c r="N31" s="13"/>
      <c r="O31" s="13">
        <v>963.67</v>
      </c>
      <c r="P31" s="13">
        <v>0</v>
      </c>
      <c r="Q31" s="13">
        <v>0</v>
      </c>
      <c r="R31" s="13">
        <v>0</v>
      </c>
      <c r="S31" s="13">
        <v>275.51</v>
      </c>
      <c r="T31" s="13">
        <v>0</v>
      </c>
      <c r="U31" s="13">
        <v>0</v>
      </c>
      <c r="V31" s="13">
        <v>0</v>
      </c>
    </row>
    <row r="32" spans="1:22" ht="14.1" customHeight="1">
      <c r="A32" t="s">
        <v>221</v>
      </c>
      <c r="B32">
        <v>1</v>
      </c>
      <c r="C32" t="s">
        <v>144</v>
      </c>
      <c r="D32">
        <v>4</v>
      </c>
      <c r="E32" t="s">
        <v>218</v>
      </c>
      <c r="F32">
        <v>1</v>
      </c>
      <c r="G32" s="19" t="s">
        <v>219</v>
      </c>
      <c r="H32" s="14" t="s">
        <v>902</v>
      </c>
      <c r="I32" s="12" t="s">
        <v>222</v>
      </c>
      <c r="J32" s="11" t="s">
        <v>149</v>
      </c>
      <c r="K32" s="13">
        <f t="shared" si="2"/>
        <v>2300</v>
      </c>
      <c r="L32" s="13">
        <v>2300</v>
      </c>
      <c r="M32" s="13"/>
      <c r="N32" s="13"/>
      <c r="O32" s="13">
        <v>1052.8900000000001</v>
      </c>
      <c r="P32" s="13">
        <v>0</v>
      </c>
      <c r="Q32" s="13">
        <v>0</v>
      </c>
      <c r="R32" s="13">
        <v>0</v>
      </c>
      <c r="S32" s="13">
        <v>305.25</v>
      </c>
      <c r="T32" s="13">
        <v>0</v>
      </c>
      <c r="U32" s="13">
        <v>0</v>
      </c>
      <c r="V32" s="13">
        <v>0</v>
      </c>
    </row>
    <row r="33" spans="1:22">
      <c r="A33" t="s">
        <v>223</v>
      </c>
      <c r="B33">
        <v>1</v>
      </c>
      <c r="C33" t="s">
        <v>144</v>
      </c>
      <c r="D33">
        <v>4</v>
      </c>
      <c r="E33" t="s">
        <v>218</v>
      </c>
      <c r="F33">
        <v>1</v>
      </c>
      <c r="G33" s="19" t="s">
        <v>219</v>
      </c>
      <c r="H33" s="14" t="s">
        <v>902</v>
      </c>
      <c r="I33" t="s">
        <v>224</v>
      </c>
      <c r="J33" s="11" t="s">
        <v>149</v>
      </c>
      <c r="K33" s="13">
        <f t="shared" si="2"/>
        <v>2306</v>
      </c>
      <c r="L33" s="13">
        <v>2306</v>
      </c>
      <c r="M33" s="13"/>
      <c r="N33" s="13"/>
      <c r="O33" s="13">
        <v>1202.4100000000001</v>
      </c>
      <c r="P33" s="13">
        <v>0</v>
      </c>
      <c r="Q33" s="13">
        <v>0</v>
      </c>
      <c r="R33" s="13">
        <v>0</v>
      </c>
      <c r="S33" s="13">
        <v>354.82</v>
      </c>
      <c r="T33" s="13">
        <v>0</v>
      </c>
      <c r="U33" s="13">
        <v>0</v>
      </c>
      <c r="V33" s="13">
        <v>0</v>
      </c>
    </row>
    <row r="34" spans="1:22">
      <c r="A34" t="s">
        <v>225</v>
      </c>
      <c r="B34">
        <v>1</v>
      </c>
      <c r="C34" t="s">
        <v>144</v>
      </c>
      <c r="D34">
        <v>4</v>
      </c>
      <c r="E34" t="s">
        <v>218</v>
      </c>
      <c r="F34">
        <v>1</v>
      </c>
      <c r="G34" s="19" t="s">
        <v>219</v>
      </c>
      <c r="H34" s="14" t="s">
        <v>902</v>
      </c>
      <c r="I34" t="s">
        <v>226</v>
      </c>
      <c r="J34" s="11" t="s">
        <v>149</v>
      </c>
      <c r="K34" s="13">
        <f t="shared" si="2"/>
        <v>2316.6</v>
      </c>
      <c r="L34" s="13">
        <v>2316.6</v>
      </c>
      <c r="M34" s="13"/>
      <c r="N34" s="13"/>
      <c r="O34" s="13">
        <v>1481.5</v>
      </c>
      <c r="P34" s="13">
        <v>0</v>
      </c>
      <c r="Q34" s="13">
        <v>0</v>
      </c>
      <c r="R34" s="13">
        <v>0</v>
      </c>
      <c r="S34" s="13">
        <v>448.03</v>
      </c>
      <c r="T34" s="13">
        <v>0</v>
      </c>
      <c r="U34" s="13">
        <v>0</v>
      </c>
      <c r="V34" s="13">
        <v>0</v>
      </c>
    </row>
    <row r="35" spans="1:22" ht="14.1" customHeight="1">
      <c r="A35" t="s">
        <v>227</v>
      </c>
      <c r="B35">
        <v>1</v>
      </c>
      <c r="C35" t="s">
        <v>144</v>
      </c>
      <c r="D35">
        <v>4</v>
      </c>
      <c r="E35" t="s">
        <v>218</v>
      </c>
      <c r="F35">
        <v>2</v>
      </c>
      <c r="G35" s="19" t="s">
        <v>228</v>
      </c>
      <c r="H35" s="14" t="s">
        <v>902</v>
      </c>
      <c r="I35" s="12" t="s">
        <v>229</v>
      </c>
      <c r="J35" s="11" t="s">
        <v>149</v>
      </c>
      <c r="K35" s="13">
        <f t="shared" si="2"/>
        <v>2000</v>
      </c>
      <c r="L35" s="13">
        <v>2000</v>
      </c>
      <c r="M35" s="13"/>
      <c r="N35" s="13"/>
      <c r="O35" s="13">
        <v>1535.2</v>
      </c>
      <c r="P35" s="13">
        <v>0</v>
      </c>
      <c r="Q35" s="13">
        <v>0</v>
      </c>
      <c r="R35" s="13">
        <v>0</v>
      </c>
      <c r="S35" s="13">
        <v>433.3</v>
      </c>
      <c r="T35" s="13">
        <v>0</v>
      </c>
      <c r="U35" s="13">
        <v>0</v>
      </c>
      <c r="V35" s="13">
        <v>0</v>
      </c>
    </row>
    <row r="36" spans="1:22" ht="14.1" customHeight="1">
      <c r="A36" t="s">
        <v>230</v>
      </c>
      <c r="B36">
        <v>1</v>
      </c>
      <c r="C36" t="s">
        <v>144</v>
      </c>
      <c r="D36">
        <v>4</v>
      </c>
      <c r="E36" t="s">
        <v>218</v>
      </c>
      <c r="F36">
        <v>3</v>
      </c>
      <c r="G36" s="19" t="s">
        <v>231</v>
      </c>
      <c r="H36" s="14" t="s">
        <v>902</v>
      </c>
      <c r="I36" s="12" t="s">
        <v>232</v>
      </c>
      <c r="J36" s="11" t="s">
        <v>233</v>
      </c>
      <c r="K36" s="13">
        <v>1</v>
      </c>
      <c r="L36" s="13">
        <v>2400</v>
      </c>
      <c r="M36" s="13"/>
      <c r="N36" s="13"/>
      <c r="O36" s="13">
        <v>1.64</v>
      </c>
      <c r="P36" s="13">
        <v>0</v>
      </c>
      <c r="Q36" s="13">
        <v>0</v>
      </c>
      <c r="R36" s="13">
        <v>0</v>
      </c>
      <c r="S36" s="13">
        <v>0.25</v>
      </c>
      <c r="T36" s="13">
        <v>0</v>
      </c>
      <c r="U36" s="13">
        <v>0</v>
      </c>
      <c r="V36" s="13">
        <v>0</v>
      </c>
    </row>
    <row r="37" spans="1:22">
      <c r="A37" t="s">
        <v>234</v>
      </c>
      <c r="B37">
        <v>1</v>
      </c>
      <c r="C37" t="s">
        <v>144</v>
      </c>
      <c r="D37">
        <v>4</v>
      </c>
      <c r="E37" t="s">
        <v>218</v>
      </c>
      <c r="F37">
        <v>4</v>
      </c>
      <c r="G37" s="19" t="s">
        <v>235</v>
      </c>
      <c r="H37" s="14" t="s">
        <v>902</v>
      </c>
      <c r="I37" t="s">
        <v>236</v>
      </c>
      <c r="J37" s="11" t="s">
        <v>149</v>
      </c>
      <c r="K37" s="13">
        <f t="shared" ref="K37:K52" si="3">L37</f>
        <v>1800</v>
      </c>
      <c r="L37" s="13">
        <v>1800</v>
      </c>
      <c r="M37" s="13"/>
      <c r="N37" s="13"/>
      <c r="O37" s="13">
        <v>2730.72</v>
      </c>
      <c r="P37" s="13">
        <v>0</v>
      </c>
      <c r="Q37" s="13">
        <v>0</v>
      </c>
      <c r="R37" s="13">
        <v>0</v>
      </c>
      <c r="S37" s="13">
        <v>423.54</v>
      </c>
      <c r="T37" s="13">
        <v>0</v>
      </c>
      <c r="U37" s="13">
        <v>0</v>
      </c>
      <c r="V37" s="13">
        <v>0</v>
      </c>
    </row>
    <row r="38" spans="1:22">
      <c r="A38" t="s">
        <v>237</v>
      </c>
      <c r="B38">
        <v>1</v>
      </c>
      <c r="C38" t="s">
        <v>144</v>
      </c>
      <c r="D38">
        <v>4</v>
      </c>
      <c r="E38" t="s">
        <v>218</v>
      </c>
      <c r="F38">
        <v>4</v>
      </c>
      <c r="G38" s="19" t="s">
        <v>235</v>
      </c>
      <c r="H38" s="14" t="s">
        <v>902</v>
      </c>
      <c r="I38" t="s">
        <v>238</v>
      </c>
      <c r="J38" s="11" t="s">
        <v>149</v>
      </c>
      <c r="K38" s="13">
        <f t="shared" si="3"/>
        <v>900</v>
      </c>
      <c r="L38" s="13">
        <v>900</v>
      </c>
      <c r="M38" s="13"/>
      <c r="N38" s="13"/>
      <c r="O38" s="13">
        <v>2567.89</v>
      </c>
      <c r="P38" s="13">
        <v>0</v>
      </c>
      <c r="Q38" s="13">
        <v>0</v>
      </c>
      <c r="R38" s="13">
        <v>0</v>
      </c>
      <c r="S38" s="13">
        <v>274.05</v>
      </c>
      <c r="T38" s="13">
        <v>0</v>
      </c>
      <c r="U38" s="13">
        <v>0</v>
      </c>
      <c r="V38" s="13">
        <v>0</v>
      </c>
    </row>
    <row r="39" spans="1:22">
      <c r="A39" t="s">
        <v>239</v>
      </c>
      <c r="B39">
        <v>1</v>
      </c>
      <c r="C39" t="s">
        <v>144</v>
      </c>
      <c r="D39">
        <v>4</v>
      </c>
      <c r="E39" t="s">
        <v>218</v>
      </c>
      <c r="F39">
        <v>4</v>
      </c>
      <c r="G39" s="19" t="s">
        <v>235</v>
      </c>
      <c r="H39" s="14" t="s">
        <v>902</v>
      </c>
      <c r="I39" t="s">
        <v>240</v>
      </c>
      <c r="J39" s="11" t="s">
        <v>149</v>
      </c>
      <c r="K39" s="13">
        <f t="shared" si="3"/>
        <v>1700</v>
      </c>
      <c r="L39" s="13">
        <v>1700</v>
      </c>
      <c r="M39" s="13"/>
      <c r="N39" s="13"/>
      <c r="O39" s="13">
        <v>2932.48</v>
      </c>
      <c r="P39" s="15">
        <v>0</v>
      </c>
      <c r="Q39" s="13">
        <v>0</v>
      </c>
      <c r="R39" s="13">
        <v>0</v>
      </c>
      <c r="S39" s="13">
        <v>1415.32</v>
      </c>
      <c r="T39" s="13">
        <v>0</v>
      </c>
      <c r="U39" s="13">
        <v>0</v>
      </c>
      <c r="V39" s="13">
        <v>0</v>
      </c>
    </row>
    <row r="40" spans="1:22">
      <c r="A40" t="s">
        <v>241</v>
      </c>
      <c r="B40">
        <v>1</v>
      </c>
      <c r="C40" t="s">
        <v>144</v>
      </c>
      <c r="D40">
        <v>4</v>
      </c>
      <c r="E40" t="s">
        <v>218</v>
      </c>
      <c r="F40">
        <v>4</v>
      </c>
      <c r="G40" s="19" t="s">
        <v>235</v>
      </c>
      <c r="H40" s="14" t="s">
        <v>902</v>
      </c>
      <c r="I40" t="s">
        <v>242</v>
      </c>
      <c r="J40" s="11" t="s">
        <v>149</v>
      </c>
      <c r="K40" s="13">
        <f t="shared" si="3"/>
        <v>900</v>
      </c>
      <c r="L40" s="13">
        <v>900</v>
      </c>
      <c r="M40" s="13"/>
      <c r="N40" s="13"/>
      <c r="O40" s="13">
        <v>1263.53</v>
      </c>
      <c r="P40" s="13">
        <v>0</v>
      </c>
      <c r="Q40" s="13">
        <v>0</v>
      </c>
      <c r="R40" s="13">
        <v>0</v>
      </c>
      <c r="S40" s="13">
        <v>135.5</v>
      </c>
      <c r="T40" s="13">
        <v>0</v>
      </c>
      <c r="U40" s="13">
        <v>0</v>
      </c>
      <c r="V40" s="13">
        <v>0</v>
      </c>
    </row>
    <row r="41" spans="1:22">
      <c r="A41" t="s">
        <v>243</v>
      </c>
      <c r="B41">
        <v>2</v>
      </c>
      <c r="C41" t="s">
        <v>244</v>
      </c>
      <c r="D41">
        <v>1</v>
      </c>
      <c r="E41" t="s">
        <v>245</v>
      </c>
      <c r="F41">
        <v>1</v>
      </c>
      <c r="G41" t="s">
        <v>245</v>
      </c>
      <c r="H41" s="14" t="s">
        <v>902</v>
      </c>
      <c r="I41" t="s">
        <v>246</v>
      </c>
      <c r="J41" s="11" t="s">
        <v>149</v>
      </c>
      <c r="K41" s="13">
        <f t="shared" si="3"/>
        <v>85</v>
      </c>
      <c r="L41" s="13">
        <v>85</v>
      </c>
      <c r="M41" s="13"/>
      <c r="N41" s="13"/>
      <c r="O41" s="13">
        <v>2223.56</v>
      </c>
      <c r="P41" s="13">
        <v>0</v>
      </c>
      <c r="Q41" s="13">
        <v>0</v>
      </c>
      <c r="R41" s="13">
        <v>0</v>
      </c>
      <c r="S41" s="13">
        <v>171.59</v>
      </c>
      <c r="T41" s="13">
        <v>0</v>
      </c>
      <c r="U41" s="13">
        <v>0</v>
      </c>
      <c r="V41" s="13">
        <v>0</v>
      </c>
    </row>
    <row r="42" spans="1:22">
      <c r="A42" t="s">
        <v>247</v>
      </c>
      <c r="B42">
        <v>2</v>
      </c>
      <c r="C42" t="s">
        <v>244</v>
      </c>
      <c r="D42">
        <v>1</v>
      </c>
      <c r="E42" t="s">
        <v>245</v>
      </c>
      <c r="F42">
        <v>1</v>
      </c>
      <c r="G42" t="s">
        <v>245</v>
      </c>
      <c r="H42" s="14" t="s">
        <v>902</v>
      </c>
      <c r="I42" t="s">
        <v>248</v>
      </c>
      <c r="J42" s="11" t="s">
        <v>149</v>
      </c>
      <c r="K42" s="13">
        <f t="shared" si="3"/>
        <v>46.25</v>
      </c>
      <c r="L42" s="13">
        <v>46.25</v>
      </c>
      <c r="M42" s="13"/>
      <c r="N42" s="13"/>
      <c r="O42" s="13">
        <v>1051.3699999999999</v>
      </c>
      <c r="P42" s="13">
        <v>0</v>
      </c>
      <c r="Q42" s="13">
        <v>0</v>
      </c>
      <c r="R42" s="13">
        <v>0</v>
      </c>
      <c r="S42" s="13">
        <v>88.53</v>
      </c>
      <c r="T42" s="13">
        <v>0</v>
      </c>
      <c r="U42" s="13">
        <v>0</v>
      </c>
      <c r="V42" s="13">
        <v>0</v>
      </c>
    </row>
    <row r="43" spans="1:22">
      <c r="A43" t="s">
        <v>249</v>
      </c>
      <c r="B43">
        <v>2</v>
      </c>
      <c r="C43" t="s">
        <v>244</v>
      </c>
      <c r="D43">
        <v>1</v>
      </c>
      <c r="E43" t="s">
        <v>245</v>
      </c>
      <c r="F43">
        <v>1</v>
      </c>
      <c r="G43" t="s">
        <v>245</v>
      </c>
      <c r="H43" s="14" t="s">
        <v>902</v>
      </c>
      <c r="I43" t="s">
        <v>250</v>
      </c>
      <c r="J43" s="11" t="s">
        <v>149</v>
      </c>
      <c r="K43" s="13">
        <f t="shared" si="3"/>
        <v>145</v>
      </c>
      <c r="L43" s="13">
        <v>145</v>
      </c>
      <c r="M43" s="13"/>
      <c r="N43" s="13"/>
      <c r="O43" s="13">
        <v>2576.5300000000002</v>
      </c>
      <c r="P43" s="13">
        <v>0</v>
      </c>
      <c r="Q43" s="13">
        <v>0</v>
      </c>
      <c r="R43" s="13">
        <v>0</v>
      </c>
      <c r="S43" s="13">
        <v>255.67</v>
      </c>
      <c r="T43" s="13">
        <v>0</v>
      </c>
      <c r="U43" s="13">
        <v>0</v>
      </c>
      <c r="V43" s="13">
        <v>0</v>
      </c>
    </row>
    <row r="44" spans="1:22">
      <c r="A44" t="s">
        <v>251</v>
      </c>
      <c r="B44">
        <v>2</v>
      </c>
      <c r="C44" t="s">
        <v>244</v>
      </c>
      <c r="D44">
        <v>2</v>
      </c>
      <c r="E44" t="s">
        <v>252</v>
      </c>
      <c r="F44">
        <v>1</v>
      </c>
      <c r="G44" t="s">
        <v>253</v>
      </c>
      <c r="H44" s="14" t="s">
        <v>902</v>
      </c>
      <c r="I44" t="s">
        <v>254</v>
      </c>
      <c r="J44" s="11" t="s">
        <v>149</v>
      </c>
      <c r="K44" s="13">
        <f t="shared" si="3"/>
        <v>25</v>
      </c>
      <c r="L44" s="13">
        <v>25</v>
      </c>
      <c r="M44" s="13"/>
      <c r="N44" s="13"/>
      <c r="O44" s="13">
        <v>2560.62</v>
      </c>
      <c r="P44" s="13">
        <v>0</v>
      </c>
      <c r="Q44" s="13">
        <v>0</v>
      </c>
      <c r="R44" s="13">
        <v>0</v>
      </c>
      <c r="S44" s="13">
        <v>97.37</v>
      </c>
      <c r="T44" s="13">
        <v>0</v>
      </c>
      <c r="U44" s="13">
        <v>0</v>
      </c>
      <c r="V44" s="13">
        <v>0</v>
      </c>
    </row>
    <row r="45" spans="1:22">
      <c r="A45" t="s">
        <v>255</v>
      </c>
      <c r="B45">
        <v>2</v>
      </c>
      <c r="C45" t="s">
        <v>244</v>
      </c>
      <c r="D45">
        <v>3</v>
      </c>
      <c r="E45" t="s">
        <v>256</v>
      </c>
      <c r="F45">
        <v>1</v>
      </c>
      <c r="G45" t="s">
        <v>257</v>
      </c>
      <c r="H45" s="14" t="s">
        <v>902</v>
      </c>
      <c r="I45" t="s">
        <v>258</v>
      </c>
      <c r="J45" s="11" t="s">
        <v>149</v>
      </c>
      <c r="K45" s="13">
        <f t="shared" si="3"/>
        <v>32</v>
      </c>
      <c r="L45" s="13">
        <v>32</v>
      </c>
      <c r="M45" s="13"/>
      <c r="N45" s="13"/>
      <c r="O45" s="13">
        <v>2984.03</v>
      </c>
      <c r="P45" s="13">
        <v>0</v>
      </c>
      <c r="Q45" s="13">
        <v>0</v>
      </c>
      <c r="R45" s="13">
        <v>0</v>
      </c>
      <c r="S45" s="13">
        <v>114.25</v>
      </c>
      <c r="T45" s="13">
        <v>0</v>
      </c>
      <c r="U45" s="13">
        <v>0</v>
      </c>
      <c r="V45" s="13">
        <v>0</v>
      </c>
    </row>
    <row r="46" spans="1:22" ht="14.1" customHeight="1">
      <c r="A46" t="s">
        <v>259</v>
      </c>
      <c r="B46">
        <v>2</v>
      </c>
      <c r="C46" t="s">
        <v>244</v>
      </c>
      <c r="D46">
        <v>7</v>
      </c>
      <c r="E46" t="s">
        <v>260</v>
      </c>
      <c r="F46">
        <v>1</v>
      </c>
      <c r="G46" t="s">
        <v>260</v>
      </c>
      <c r="H46" s="14" t="s">
        <v>902</v>
      </c>
      <c r="I46" s="12" t="s">
        <v>261</v>
      </c>
      <c r="J46" s="11" t="s">
        <v>149</v>
      </c>
      <c r="K46" s="13">
        <f t="shared" si="3"/>
        <v>360</v>
      </c>
      <c r="L46" s="13">
        <v>360</v>
      </c>
      <c r="M46" s="13"/>
      <c r="N46" s="13"/>
      <c r="O46" s="13">
        <v>3121.14</v>
      </c>
      <c r="P46" s="13"/>
      <c r="Q46" s="13"/>
      <c r="R46" s="13"/>
      <c r="S46" s="13">
        <v>28.54</v>
      </c>
      <c r="T46" s="13"/>
      <c r="U46" s="13"/>
      <c r="V46" s="13"/>
    </row>
    <row r="47" spans="1:22">
      <c r="A47" t="s">
        <v>262</v>
      </c>
      <c r="B47">
        <v>2</v>
      </c>
      <c r="C47" t="s">
        <v>244</v>
      </c>
      <c r="D47">
        <v>20</v>
      </c>
      <c r="E47" t="s">
        <v>263</v>
      </c>
      <c r="F47">
        <v>1</v>
      </c>
      <c r="G47" t="s">
        <v>264</v>
      </c>
      <c r="H47" s="14" t="s">
        <v>902</v>
      </c>
      <c r="I47" t="s">
        <v>265</v>
      </c>
      <c r="J47" s="11" t="s">
        <v>149</v>
      </c>
      <c r="K47" s="13">
        <f t="shared" si="3"/>
        <v>115</v>
      </c>
      <c r="L47" s="13">
        <v>115</v>
      </c>
      <c r="M47" s="13"/>
      <c r="N47" s="13"/>
      <c r="O47" s="13">
        <v>2229.5300000000002</v>
      </c>
      <c r="P47" s="13">
        <v>0</v>
      </c>
      <c r="Q47" s="13">
        <v>0</v>
      </c>
      <c r="R47" s="13">
        <v>0</v>
      </c>
      <c r="S47" s="13">
        <v>235.5</v>
      </c>
      <c r="T47" s="13">
        <v>0</v>
      </c>
      <c r="U47" s="13">
        <v>0</v>
      </c>
      <c r="V47" s="13">
        <v>0</v>
      </c>
    </row>
    <row r="48" spans="1:22" ht="14.1" customHeight="1">
      <c r="A48" t="s">
        <v>266</v>
      </c>
      <c r="B48">
        <v>3</v>
      </c>
      <c r="C48" t="s">
        <v>267</v>
      </c>
      <c r="D48">
        <v>1</v>
      </c>
      <c r="E48" t="s">
        <v>268</v>
      </c>
      <c r="F48">
        <v>2</v>
      </c>
      <c r="G48" t="s">
        <v>269</v>
      </c>
      <c r="H48" s="14" t="s">
        <v>902</v>
      </c>
      <c r="I48" s="12" t="s">
        <v>270</v>
      </c>
      <c r="J48" s="11" t="s">
        <v>149</v>
      </c>
      <c r="K48" s="13">
        <f t="shared" si="3"/>
        <v>529</v>
      </c>
      <c r="L48" s="13">
        <v>529</v>
      </c>
      <c r="M48" s="13"/>
      <c r="N48" s="13"/>
      <c r="O48" s="13">
        <v>3776.92</v>
      </c>
      <c r="P48" s="13"/>
      <c r="Q48" s="13"/>
      <c r="R48" s="13"/>
      <c r="S48" s="13">
        <v>-513.46</v>
      </c>
      <c r="T48" s="13"/>
      <c r="U48" s="13"/>
      <c r="V48" s="13"/>
    </row>
    <row r="49" spans="1:22" ht="14.1" customHeight="1">
      <c r="A49" t="s">
        <v>271</v>
      </c>
      <c r="B49">
        <v>3</v>
      </c>
      <c r="C49" t="s">
        <v>267</v>
      </c>
      <c r="D49">
        <v>1</v>
      </c>
      <c r="E49" t="s">
        <v>268</v>
      </c>
      <c r="F49">
        <v>3</v>
      </c>
      <c r="G49" t="s">
        <v>272</v>
      </c>
      <c r="H49" s="14" t="s">
        <v>902</v>
      </c>
      <c r="I49" s="12" t="s">
        <v>273</v>
      </c>
      <c r="J49" s="11" t="s">
        <v>149</v>
      </c>
      <c r="K49" s="13">
        <f t="shared" si="3"/>
        <v>515.20000000000005</v>
      </c>
      <c r="L49" s="13">
        <v>515.20000000000005</v>
      </c>
      <c r="M49" s="13"/>
      <c r="N49" s="13"/>
      <c r="O49" s="13">
        <v>4461.91</v>
      </c>
      <c r="P49" s="13"/>
      <c r="Q49" s="13"/>
      <c r="R49" s="13"/>
      <c r="S49" s="13">
        <v>-476.01</v>
      </c>
      <c r="T49" s="13"/>
      <c r="U49" s="13"/>
      <c r="V49" s="13"/>
    </row>
    <row r="50" spans="1:22" ht="14.1" customHeight="1">
      <c r="A50" t="s">
        <v>274</v>
      </c>
      <c r="B50">
        <v>3</v>
      </c>
      <c r="C50" t="s">
        <v>267</v>
      </c>
      <c r="D50">
        <v>1</v>
      </c>
      <c r="E50" t="s">
        <v>268</v>
      </c>
      <c r="F50">
        <v>4</v>
      </c>
      <c r="G50" t="s">
        <v>275</v>
      </c>
      <c r="H50" s="14" t="s">
        <v>902</v>
      </c>
      <c r="I50" s="12" t="s">
        <v>276</v>
      </c>
      <c r="J50" s="11" t="s">
        <v>149</v>
      </c>
      <c r="K50" s="13">
        <f t="shared" si="3"/>
        <v>515.20000000000005</v>
      </c>
      <c r="L50" s="13">
        <v>515.20000000000005</v>
      </c>
      <c r="M50" s="13"/>
      <c r="N50" s="13"/>
      <c r="O50" s="13">
        <v>4591.8900000000003</v>
      </c>
      <c r="P50" s="13"/>
      <c r="Q50" s="13"/>
      <c r="R50" s="13"/>
      <c r="S50" s="13">
        <v>-473.81</v>
      </c>
      <c r="T50" s="13"/>
      <c r="U50" s="13"/>
      <c r="V50" s="13"/>
    </row>
    <row r="51" spans="1:22" ht="14.1" customHeight="1">
      <c r="A51" t="s">
        <v>277</v>
      </c>
      <c r="B51">
        <v>3</v>
      </c>
      <c r="C51" t="s">
        <v>267</v>
      </c>
      <c r="D51">
        <v>2</v>
      </c>
      <c r="E51" t="s">
        <v>278</v>
      </c>
      <c r="F51">
        <v>2</v>
      </c>
      <c r="G51" t="s">
        <v>279</v>
      </c>
      <c r="H51" s="14" t="s">
        <v>902</v>
      </c>
      <c r="I51" s="12" t="s">
        <v>280</v>
      </c>
      <c r="J51" s="11" t="s">
        <v>149</v>
      </c>
      <c r="K51" s="13">
        <f t="shared" si="3"/>
        <v>490.6</v>
      </c>
      <c r="L51" s="13">
        <v>490.6</v>
      </c>
      <c r="M51" s="13"/>
      <c r="N51" s="13"/>
      <c r="O51" s="13">
        <v>4787.6099999999997</v>
      </c>
      <c r="P51" s="13"/>
      <c r="Q51" s="13"/>
      <c r="R51" s="13"/>
      <c r="S51" s="13">
        <v>-584.76</v>
      </c>
      <c r="T51" s="13"/>
      <c r="U51" s="13"/>
      <c r="V51" s="13"/>
    </row>
    <row r="52" spans="1:22" ht="14.1" customHeight="1">
      <c r="A52" t="s">
        <v>281</v>
      </c>
      <c r="B52">
        <v>3</v>
      </c>
      <c r="C52" t="s">
        <v>267</v>
      </c>
      <c r="D52">
        <v>2</v>
      </c>
      <c r="E52" t="s">
        <v>278</v>
      </c>
      <c r="F52">
        <v>6</v>
      </c>
      <c r="G52" t="s">
        <v>282</v>
      </c>
      <c r="H52" s="14" t="s">
        <v>902</v>
      </c>
      <c r="I52" s="12" t="s">
        <v>283</v>
      </c>
      <c r="J52" s="11" t="s">
        <v>149</v>
      </c>
      <c r="K52" s="13">
        <f t="shared" si="3"/>
        <v>700</v>
      </c>
      <c r="L52" s="13">
        <v>700</v>
      </c>
      <c r="M52" s="13"/>
      <c r="N52" s="13"/>
      <c r="O52" s="13">
        <v>6886.38</v>
      </c>
      <c r="P52" s="13"/>
      <c r="Q52" s="13"/>
      <c r="R52" s="13"/>
      <c r="S52" s="13">
        <v>-680.86</v>
      </c>
      <c r="T52" s="13"/>
      <c r="U52" s="13"/>
      <c r="V52" s="13"/>
    </row>
    <row r="53" spans="1:22" ht="14.1" customHeight="1">
      <c r="A53" t="s">
        <v>284</v>
      </c>
      <c r="B53">
        <v>3</v>
      </c>
      <c r="C53" t="s">
        <v>267</v>
      </c>
      <c r="D53">
        <v>3</v>
      </c>
      <c r="E53" t="s">
        <v>285</v>
      </c>
      <c r="F53">
        <v>1</v>
      </c>
      <c r="G53" t="s">
        <v>286</v>
      </c>
      <c r="H53" s="14" t="s">
        <v>902</v>
      </c>
      <c r="I53" s="12" t="s">
        <v>287</v>
      </c>
      <c r="J53" s="11" t="s">
        <v>157</v>
      </c>
      <c r="K53" s="13">
        <f>M53</f>
        <v>7.09</v>
      </c>
      <c r="L53" s="13"/>
      <c r="M53" s="13">
        <v>7.09</v>
      </c>
      <c r="N53" s="13"/>
      <c r="O53" s="13">
        <v>240.69</v>
      </c>
      <c r="P53" s="13"/>
      <c r="Q53" s="13"/>
      <c r="R53" s="13"/>
      <c r="S53" s="13">
        <v>-1.07</v>
      </c>
      <c r="T53" s="13"/>
      <c r="U53" s="13"/>
      <c r="V53" s="13"/>
    </row>
    <row r="54" spans="1:22">
      <c r="A54" t="s">
        <v>288</v>
      </c>
      <c r="B54">
        <v>4</v>
      </c>
      <c r="C54" t="s">
        <v>289</v>
      </c>
      <c r="D54">
        <v>1</v>
      </c>
      <c r="E54" t="s">
        <v>290</v>
      </c>
      <c r="F54">
        <v>2</v>
      </c>
      <c r="G54" t="s">
        <v>291</v>
      </c>
      <c r="H54" s="14" t="s">
        <v>902</v>
      </c>
      <c r="I54" t="s">
        <v>292</v>
      </c>
      <c r="J54" s="11" t="s">
        <v>233</v>
      </c>
      <c r="K54" s="13">
        <v>1</v>
      </c>
      <c r="L54" s="13">
        <v>7850</v>
      </c>
      <c r="M54" s="13"/>
      <c r="N54" s="13"/>
      <c r="O54" s="13">
        <v>27.93</v>
      </c>
      <c r="P54" s="13">
        <v>0</v>
      </c>
      <c r="Q54" s="13">
        <v>0</v>
      </c>
      <c r="R54" s="13">
        <v>0</v>
      </c>
      <c r="S54" s="13">
        <v>2.27</v>
      </c>
      <c r="T54" s="13">
        <v>0</v>
      </c>
      <c r="U54" s="13">
        <v>0</v>
      </c>
      <c r="V54" s="13">
        <v>0</v>
      </c>
    </row>
    <row r="55" spans="1:22">
      <c r="A55" t="s">
        <v>293</v>
      </c>
      <c r="B55">
        <v>4</v>
      </c>
      <c r="C55" t="s">
        <v>289</v>
      </c>
      <c r="D55">
        <v>1</v>
      </c>
      <c r="E55" t="s">
        <v>290</v>
      </c>
      <c r="F55">
        <v>2</v>
      </c>
      <c r="G55" t="s">
        <v>291</v>
      </c>
      <c r="H55" s="14" t="s">
        <v>902</v>
      </c>
      <c r="I55" t="s">
        <v>294</v>
      </c>
      <c r="J55" s="11" t="s">
        <v>295</v>
      </c>
      <c r="K55" s="13">
        <f>L55</f>
        <v>7850</v>
      </c>
      <c r="L55" s="13">
        <v>7850</v>
      </c>
      <c r="M55" s="13"/>
      <c r="N55" s="13"/>
      <c r="O55" s="13">
        <v>22582.39</v>
      </c>
      <c r="P55" s="13">
        <v>0</v>
      </c>
      <c r="Q55" s="13">
        <v>0</v>
      </c>
      <c r="R55" s="13">
        <v>0</v>
      </c>
      <c r="S55" s="13">
        <v>1957.88</v>
      </c>
      <c r="T55" s="13">
        <v>0</v>
      </c>
      <c r="U55" s="13">
        <v>0</v>
      </c>
      <c r="V55" s="13">
        <v>0</v>
      </c>
    </row>
    <row r="56" spans="1:22" ht="14.1" customHeight="1">
      <c r="A56" t="s">
        <v>296</v>
      </c>
      <c r="B56">
        <v>4</v>
      </c>
      <c r="C56" t="s">
        <v>289</v>
      </c>
      <c r="D56">
        <v>1</v>
      </c>
      <c r="E56" t="s">
        <v>290</v>
      </c>
      <c r="F56">
        <v>3</v>
      </c>
      <c r="G56" t="s">
        <v>297</v>
      </c>
      <c r="H56" s="14" t="s">
        <v>902</v>
      </c>
      <c r="I56" s="12" t="s">
        <v>298</v>
      </c>
      <c r="J56" s="11" t="s">
        <v>295</v>
      </c>
      <c r="K56" s="13">
        <f>L56</f>
        <v>7850</v>
      </c>
      <c r="L56" s="13">
        <v>7850</v>
      </c>
      <c r="M56" s="13"/>
      <c r="N56" s="13"/>
      <c r="O56" s="13">
        <v>32431.16</v>
      </c>
      <c r="P56" s="13">
        <v>0</v>
      </c>
      <c r="Q56" s="13">
        <v>0</v>
      </c>
      <c r="R56" s="13">
        <v>0</v>
      </c>
      <c r="S56" s="13">
        <v>2015.44</v>
      </c>
      <c r="T56" s="13">
        <v>0</v>
      </c>
      <c r="U56" s="13">
        <v>0</v>
      </c>
      <c r="V56" s="13">
        <v>0</v>
      </c>
    </row>
    <row r="57" spans="1:22" ht="14.1" customHeight="1">
      <c r="A57" t="s">
        <v>299</v>
      </c>
      <c r="B57">
        <v>4</v>
      </c>
      <c r="C57" t="s">
        <v>289</v>
      </c>
      <c r="D57">
        <v>1</v>
      </c>
      <c r="E57" t="s">
        <v>290</v>
      </c>
      <c r="F57">
        <v>3</v>
      </c>
      <c r="G57" t="s">
        <v>297</v>
      </c>
      <c r="H57" s="14" t="s">
        <v>902</v>
      </c>
      <c r="I57" s="12" t="s">
        <v>300</v>
      </c>
      <c r="J57" s="11" t="s">
        <v>233</v>
      </c>
      <c r="K57" s="13">
        <v>1</v>
      </c>
      <c r="L57" s="13">
        <v>7850</v>
      </c>
      <c r="M57" s="13"/>
      <c r="N57" s="13"/>
      <c r="O57" s="13">
        <v>34.46</v>
      </c>
      <c r="P57" s="13">
        <v>0</v>
      </c>
      <c r="Q57" s="13">
        <v>0</v>
      </c>
      <c r="R57" s="13">
        <v>0</v>
      </c>
      <c r="S57" s="13">
        <v>3.61</v>
      </c>
      <c r="T57" s="13">
        <v>0</v>
      </c>
      <c r="U57" s="13">
        <v>0</v>
      </c>
      <c r="V57" s="13">
        <v>0</v>
      </c>
    </row>
    <row r="58" spans="1:22" ht="14.1" customHeight="1">
      <c r="A58" t="s">
        <v>301</v>
      </c>
      <c r="B58">
        <v>4</v>
      </c>
      <c r="C58" t="s">
        <v>289</v>
      </c>
      <c r="D58">
        <v>1</v>
      </c>
      <c r="E58" t="s">
        <v>290</v>
      </c>
      <c r="F58">
        <v>4</v>
      </c>
      <c r="G58" s="12" t="s">
        <v>302</v>
      </c>
      <c r="H58" s="14" t="s">
        <v>902</v>
      </c>
      <c r="I58" s="12" t="s">
        <v>303</v>
      </c>
      <c r="J58" s="11" t="s">
        <v>157</v>
      </c>
      <c r="K58" s="13">
        <f>M58</f>
        <v>5.72</v>
      </c>
      <c r="L58" s="13"/>
      <c r="M58" s="13">
        <v>5.72</v>
      </c>
      <c r="N58" s="13"/>
      <c r="O58" s="13">
        <v>213.69</v>
      </c>
      <c r="P58" s="13">
        <v>0</v>
      </c>
      <c r="Q58" s="13">
        <v>0</v>
      </c>
      <c r="R58" s="13">
        <v>0</v>
      </c>
      <c r="S58" s="13">
        <v>22.98</v>
      </c>
      <c r="T58" s="13">
        <v>0</v>
      </c>
      <c r="U58" s="13">
        <v>0</v>
      </c>
      <c r="V58" s="13">
        <v>0</v>
      </c>
    </row>
    <row r="59" spans="1:22" ht="14.1" customHeight="1">
      <c r="A59" t="s">
        <v>304</v>
      </c>
      <c r="B59">
        <v>4</v>
      </c>
      <c r="C59" t="s">
        <v>289</v>
      </c>
      <c r="D59">
        <v>1</v>
      </c>
      <c r="E59" t="s">
        <v>290</v>
      </c>
      <c r="F59">
        <v>5</v>
      </c>
      <c r="G59" t="s">
        <v>305</v>
      </c>
      <c r="H59" s="14" t="s">
        <v>902</v>
      </c>
      <c r="I59" s="12" t="s">
        <v>306</v>
      </c>
      <c r="J59" s="11" t="s">
        <v>233</v>
      </c>
      <c r="K59" s="13">
        <v>1</v>
      </c>
      <c r="L59" s="13"/>
      <c r="M59" s="13"/>
      <c r="N59" s="13"/>
      <c r="O59" s="13">
        <v>16.93</v>
      </c>
      <c r="P59" s="13">
        <v>0</v>
      </c>
      <c r="Q59" s="13">
        <v>0</v>
      </c>
      <c r="R59" s="13">
        <v>0</v>
      </c>
      <c r="S59" s="13">
        <v>1.79</v>
      </c>
      <c r="T59" s="13">
        <v>0</v>
      </c>
      <c r="U59" s="13">
        <v>0</v>
      </c>
      <c r="V59" s="13">
        <v>0</v>
      </c>
    </row>
    <row r="60" spans="1:22" ht="14.1" customHeight="1">
      <c r="A60" t="s">
        <v>307</v>
      </c>
      <c r="B60">
        <v>5</v>
      </c>
      <c r="C60" t="s">
        <v>308</v>
      </c>
      <c r="D60">
        <v>1</v>
      </c>
      <c r="E60" t="s">
        <v>309</v>
      </c>
      <c r="F60">
        <v>1</v>
      </c>
      <c r="G60" t="s">
        <v>310</v>
      </c>
      <c r="H60" s="14" t="s">
        <v>902</v>
      </c>
      <c r="I60" s="12" t="s">
        <v>311</v>
      </c>
      <c r="J60" s="11" t="s">
        <v>233</v>
      </c>
      <c r="K60" s="13">
        <v>1</v>
      </c>
      <c r="L60" s="13"/>
      <c r="M60" s="13"/>
      <c r="N60" s="13"/>
      <c r="O60" s="13">
        <v>20.350000000000001</v>
      </c>
      <c r="P60" s="13">
        <v>0</v>
      </c>
      <c r="Q60" s="13">
        <v>0</v>
      </c>
      <c r="R60" s="13">
        <v>0</v>
      </c>
      <c r="S60" s="13">
        <v>1.06</v>
      </c>
      <c r="T60" s="13">
        <v>0</v>
      </c>
      <c r="U60" s="13">
        <v>0</v>
      </c>
      <c r="V60" s="13">
        <v>0</v>
      </c>
    </row>
    <row r="61" spans="1:22" ht="14.1" customHeight="1">
      <c r="A61" t="s">
        <v>312</v>
      </c>
      <c r="B61">
        <v>5</v>
      </c>
      <c r="C61" t="s">
        <v>308</v>
      </c>
      <c r="D61">
        <v>1</v>
      </c>
      <c r="E61" t="s">
        <v>309</v>
      </c>
      <c r="F61">
        <v>1</v>
      </c>
      <c r="G61" t="s">
        <v>310</v>
      </c>
      <c r="H61" s="14" t="s">
        <v>902</v>
      </c>
      <c r="I61" s="12" t="s">
        <v>313</v>
      </c>
      <c r="J61" s="11" t="s">
        <v>233</v>
      </c>
      <c r="K61" s="13">
        <v>1</v>
      </c>
      <c r="L61" s="13"/>
      <c r="M61" s="13"/>
      <c r="N61" s="13"/>
      <c r="O61" s="13">
        <v>18.38</v>
      </c>
      <c r="P61" s="13">
        <v>0</v>
      </c>
      <c r="Q61" s="13">
        <v>0</v>
      </c>
      <c r="R61" s="13">
        <v>0</v>
      </c>
      <c r="S61" s="13">
        <v>0.98</v>
      </c>
      <c r="T61" s="13">
        <v>0</v>
      </c>
      <c r="U61" s="13">
        <v>0</v>
      </c>
      <c r="V61" s="13">
        <v>0</v>
      </c>
    </row>
    <row r="62" spans="1:22">
      <c r="A62" t="s">
        <v>314</v>
      </c>
      <c r="B62">
        <v>6</v>
      </c>
      <c r="C62" t="s">
        <v>315</v>
      </c>
      <c r="D62">
        <v>3</v>
      </c>
      <c r="E62" t="s">
        <v>316</v>
      </c>
      <c r="F62">
        <v>1</v>
      </c>
      <c r="G62" t="s">
        <v>317</v>
      </c>
      <c r="H62" s="14" t="s">
        <v>902</v>
      </c>
      <c r="I62" t="s">
        <v>318</v>
      </c>
      <c r="J62" s="11" t="s">
        <v>157</v>
      </c>
      <c r="K62" s="13">
        <f>M62</f>
        <v>5</v>
      </c>
      <c r="L62" s="13"/>
      <c r="M62" s="13">
        <v>5</v>
      </c>
      <c r="N62" s="13"/>
      <c r="O62" s="13">
        <v>215.1</v>
      </c>
      <c r="P62" s="13">
        <v>0</v>
      </c>
      <c r="Q62" s="13">
        <v>0</v>
      </c>
      <c r="R62" s="13">
        <v>0</v>
      </c>
      <c r="S62" s="13">
        <v>3.33</v>
      </c>
      <c r="T62" s="13">
        <v>0</v>
      </c>
      <c r="U62" s="13">
        <v>0</v>
      </c>
      <c r="V62" s="13">
        <v>0</v>
      </c>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VN</v>
      </c>
      <c r="I64" s="12" t="str">
        <f t="shared" ref="I64:I72" si="5">A64</f>
        <v>CONCRETE generic data for modelling with BoQ</v>
      </c>
      <c r="J64" s="14" t="str">
        <f>J33</f>
        <v>m³</v>
      </c>
      <c r="K64" s="15">
        <f>K33</f>
        <v>2306</v>
      </c>
      <c r="L64" s="15">
        <f>L33</f>
        <v>2306</v>
      </c>
      <c r="M64" s="15"/>
      <c r="N64" s="15"/>
      <c r="O64" s="15">
        <f>O33</f>
        <v>1202.4100000000001</v>
      </c>
      <c r="P64" s="15"/>
      <c r="Q64" s="15"/>
      <c r="R64" s="15"/>
      <c r="S64" s="15">
        <f>S33</f>
        <v>354.82</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VN</v>
      </c>
      <c r="I65" s="12" t="str">
        <f t="shared" si="5"/>
        <v>STEEL generic data for modelling with BoQ</v>
      </c>
      <c r="J65" s="14" t="str">
        <f>J56</f>
        <v>t</v>
      </c>
      <c r="K65" s="15">
        <f>K56</f>
        <v>7850</v>
      </c>
      <c r="L65" s="15">
        <f>L56</f>
        <v>7850</v>
      </c>
      <c r="M65" s="15"/>
      <c r="N65" s="15"/>
      <c r="O65" s="15">
        <f>O56</f>
        <v>32431.16</v>
      </c>
      <c r="P65" s="15"/>
      <c r="Q65" s="15"/>
      <c r="R65" s="15"/>
      <c r="S65" s="15">
        <f>S56</f>
        <v>2015.44</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VN</v>
      </c>
      <c r="I66" t="str">
        <f t="shared" si="5"/>
        <v>PLASTER generic data for modelling with BoQ</v>
      </c>
      <c r="J66" s="14" t="str">
        <f>J38</f>
        <v>m³</v>
      </c>
      <c r="K66" s="15">
        <f>K38</f>
        <v>900</v>
      </c>
      <c r="L66" s="15">
        <f>L38</f>
        <v>900</v>
      </c>
      <c r="M66" s="15"/>
      <c r="N66" s="15"/>
      <c r="O66" s="15">
        <f>O38</f>
        <v>2567.89</v>
      </c>
      <c r="P66" s="15"/>
      <c r="Q66" s="15"/>
      <c r="R66" s="15"/>
      <c r="S66" s="15">
        <f>S38</f>
        <v>274.05</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VN</v>
      </c>
      <c r="I67" t="str">
        <f t="shared" si="5"/>
        <v>CEMENT SCREED generic data for modelling with BoQ</v>
      </c>
      <c r="J67" s="14" t="str">
        <f>J36</f>
        <v>kg</v>
      </c>
      <c r="K67" s="15">
        <f>K36</f>
        <v>1</v>
      </c>
      <c r="L67" s="15">
        <f>L36</f>
        <v>2400</v>
      </c>
      <c r="M67" s="15"/>
      <c r="N67" s="15"/>
      <c r="O67" s="15">
        <f>O36</f>
        <v>1.64</v>
      </c>
      <c r="P67" s="15"/>
      <c r="Q67" s="15"/>
      <c r="R67" s="15"/>
      <c r="S67" s="15">
        <f>S36</f>
        <v>0.25</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VN</v>
      </c>
      <c r="I68" t="str">
        <f t="shared" si="5"/>
        <v>FLOOR FINISH generic data for modelling with BoQ</v>
      </c>
      <c r="J68" s="14" t="str">
        <f>J18</f>
        <v>m²</v>
      </c>
      <c r="K68" s="15">
        <f>K18</f>
        <v>52</v>
      </c>
      <c r="L68" s="15"/>
      <c r="M68" s="15">
        <f>M18</f>
        <v>52</v>
      </c>
      <c r="N68" s="15"/>
      <c r="O68" s="15">
        <f>O18</f>
        <v>291.95999999999998</v>
      </c>
      <c r="P68" s="15"/>
      <c r="Q68" s="15"/>
      <c r="R68" s="15"/>
      <c r="S68" s="15">
        <f>S18</f>
        <v>22.28</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VN</v>
      </c>
      <c r="I69" t="str">
        <f t="shared" si="5"/>
        <v>AAC BLOCK generic data for modelling with BoQ</v>
      </c>
      <c r="J69" s="14" t="str">
        <f>J8</f>
        <v>m³</v>
      </c>
      <c r="K69" s="15">
        <f>K8</f>
        <v>500</v>
      </c>
      <c r="L69" s="15">
        <f>L8</f>
        <v>500</v>
      </c>
      <c r="M69" s="15"/>
      <c r="N69" s="15"/>
      <c r="O69" s="15">
        <f>O8</f>
        <v>1908.32</v>
      </c>
      <c r="P69" s="15"/>
      <c r="Q69" s="15"/>
      <c r="R69" s="15"/>
      <c r="S69" s="15">
        <f>S8</f>
        <v>313.38</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VN</v>
      </c>
      <c r="I70" t="str">
        <f t="shared" si="5"/>
        <v>RED BRICK generic data for modelling with BoQ</v>
      </c>
      <c r="J70" s="14" t="str">
        <f>J3</f>
        <v>m³</v>
      </c>
      <c r="K70" s="15">
        <f>K3</f>
        <v>1800</v>
      </c>
      <c r="L70" s="15">
        <f>L3</f>
        <v>1800</v>
      </c>
      <c r="M70" s="15"/>
      <c r="N70" s="15"/>
      <c r="O70" s="15">
        <f>O3</f>
        <v>8227.5</v>
      </c>
      <c r="P70" s="15"/>
      <c r="Q70" s="15"/>
      <c r="R70" s="15"/>
      <c r="S70" s="15">
        <f>S3</f>
        <v>558.36</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VN</v>
      </c>
      <c r="I71" t="str">
        <f t="shared" si="5"/>
        <v>CONCRETE BRICK generic data for modelling with BoQ</v>
      </c>
      <c r="J71" s="14" t="str">
        <f>J15</f>
        <v>m³</v>
      </c>
      <c r="K71" s="15">
        <f>K15</f>
        <v>2000</v>
      </c>
      <c r="L71" s="15">
        <f>L15</f>
        <v>2000</v>
      </c>
      <c r="M71" s="15"/>
      <c r="N71" s="15"/>
      <c r="O71" s="15">
        <f>O15</f>
        <v>1555.85</v>
      </c>
      <c r="P71" s="15"/>
      <c r="Q71" s="15"/>
      <c r="R71" s="15"/>
      <c r="S71" s="15">
        <f>S15</f>
        <v>315.3</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VN</v>
      </c>
      <c r="I72" t="str">
        <f t="shared" si="5"/>
        <v>CONCRETE ROOF TILES generic data for modelling with BoQ</v>
      </c>
      <c r="J72" s="14" t="str">
        <f>J24</f>
        <v>m²</v>
      </c>
      <c r="K72" s="11">
        <f>K24</f>
        <v>42</v>
      </c>
      <c r="L72" s="11"/>
      <c r="M72" s="11">
        <f>M24</f>
        <v>42</v>
      </c>
      <c r="N72" s="15"/>
      <c r="O72" s="11">
        <f>O24</f>
        <v>133.35</v>
      </c>
      <c r="P72" s="15"/>
      <c r="Q72" s="15"/>
      <c r="R72" s="15"/>
      <c r="S72" s="11">
        <f>S24</f>
        <v>17.87</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
    <pageSetUpPr fitToPage="1"/>
  </sheetPr>
  <dimension ref="A1:V79"/>
  <sheetViews>
    <sheetView workbookViewId="0"/>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903</v>
      </c>
      <c r="I2" t="s">
        <v>148</v>
      </c>
      <c r="J2" s="11" t="s">
        <v>149</v>
      </c>
      <c r="K2" s="13">
        <f>L2</f>
        <v>2000</v>
      </c>
      <c r="L2" s="13">
        <v>2000</v>
      </c>
      <c r="M2" s="13"/>
      <c r="N2" s="13"/>
      <c r="O2" s="13">
        <v>2715.92</v>
      </c>
      <c r="P2" s="13">
        <v>0</v>
      </c>
      <c r="Q2" s="13">
        <v>0</v>
      </c>
      <c r="R2" s="13">
        <v>0</v>
      </c>
      <c r="S2" s="13">
        <v>384.62</v>
      </c>
      <c r="T2" s="13">
        <v>0</v>
      </c>
      <c r="U2" s="13">
        <v>0</v>
      </c>
      <c r="V2" s="13">
        <v>0</v>
      </c>
    </row>
    <row r="3" spans="1:22">
      <c r="A3" t="s">
        <v>150</v>
      </c>
      <c r="B3">
        <v>1</v>
      </c>
      <c r="C3" t="s">
        <v>144</v>
      </c>
      <c r="D3">
        <v>3</v>
      </c>
      <c r="E3" t="s">
        <v>145</v>
      </c>
      <c r="F3">
        <v>2</v>
      </c>
      <c r="G3" t="s">
        <v>151</v>
      </c>
      <c r="H3" s="14" t="s">
        <v>903</v>
      </c>
      <c r="I3" t="s">
        <v>152</v>
      </c>
      <c r="J3" s="11" t="s">
        <v>149</v>
      </c>
      <c r="K3" s="13">
        <f>L3</f>
        <v>1800</v>
      </c>
      <c r="L3" s="13">
        <v>1800</v>
      </c>
      <c r="M3" s="13"/>
      <c r="N3" s="13"/>
      <c r="O3" s="13">
        <v>7548.58</v>
      </c>
      <c r="P3" s="13">
        <v>0</v>
      </c>
      <c r="Q3" s="13">
        <v>0</v>
      </c>
      <c r="R3" s="13">
        <v>0</v>
      </c>
      <c r="S3" s="13">
        <v>512.28</v>
      </c>
      <c r="T3" s="13">
        <v>0</v>
      </c>
      <c r="U3" s="13">
        <v>0</v>
      </c>
      <c r="V3" s="13">
        <v>0</v>
      </c>
    </row>
    <row r="4" spans="1:22">
      <c r="A4" t="s">
        <v>153</v>
      </c>
      <c r="B4">
        <v>1</v>
      </c>
      <c r="C4" t="s">
        <v>144</v>
      </c>
      <c r="D4">
        <v>3</v>
      </c>
      <c r="E4" t="s">
        <v>145</v>
      </c>
      <c r="F4">
        <v>2</v>
      </c>
      <c r="G4" t="s">
        <v>151</v>
      </c>
      <c r="H4" s="14" t="s">
        <v>903</v>
      </c>
      <c r="I4" t="s">
        <v>154</v>
      </c>
      <c r="J4" s="11" t="s">
        <v>149</v>
      </c>
      <c r="K4" s="13">
        <f>L4</f>
        <v>2000</v>
      </c>
      <c r="L4" s="13">
        <v>2000</v>
      </c>
      <c r="M4" s="13"/>
      <c r="N4" s="13"/>
      <c r="O4" s="13">
        <v>7699.9</v>
      </c>
      <c r="P4" s="13">
        <v>0</v>
      </c>
      <c r="Q4" s="13">
        <v>0</v>
      </c>
      <c r="R4" s="13">
        <v>0</v>
      </c>
      <c r="S4" s="13">
        <v>514.30999999999995</v>
      </c>
      <c r="T4" s="13">
        <v>0</v>
      </c>
      <c r="U4" s="13">
        <v>0</v>
      </c>
      <c r="V4" s="13">
        <v>0</v>
      </c>
    </row>
    <row r="5" spans="1:22">
      <c r="A5" t="s">
        <v>155</v>
      </c>
      <c r="B5">
        <v>1</v>
      </c>
      <c r="C5" t="s">
        <v>144</v>
      </c>
      <c r="D5">
        <v>3</v>
      </c>
      <c r="E5" t="s">
        <v>145</v>
      </c>
      <c r="F5">
        <v>2</v>
      </c>
      <c r="G5" t="s">
        <v>151</v>
      </c>
      <c r="H5" s="14" t="s">
        <v>903</v>
      </c>
      <c r="I5" t="s">
        <v>156</v>
      </c>
      <c r="J5" s="11" t="s">
        <v>157</v>
      </c>
      <c r="K5" s="13">
        <f>M5</f>
        <v>159</v>
      </c>
      <c r="L5" s="13">
        <v>1700</v>
      </c>
      <c r="M5" s="13">
        <v>159</v>
      </c>
      <c r="N5" s="13"/>
      <c r="O5" s="13">
        <v>401.37</v>
      </c>
      <c r="P5" s="13">
        <v>0</v>
      </c>
      <c r="Q5" s="13">
        <v>0</v>
      </c>
      <c r="R5" s="13">
        <v>0</v>
      </c>
      <c r="S5" s="13">
        <v>25.51</v>
      </c>
      <c r="T5" s="13">
        <v>0</v>
      </c>
      <c r="U5" s="13">
        <v>0</v>
      </c>
      <c r="V5" s="13">
        <v>0</v>
      </c>
    </row>
    <row r="6" spans="1:22">
      <c r="A6" t="s">
        <v>158</v>
      </c>
      <c r="B6">
        <v>1</v>
      </c>
      <c r="C6" t="s">
        <v>144</v>
      </c>
      <c r="D6">
        <v>3</v>
      </c>
      <c r="E6" t="s">
        <v>145</v>
      </c>
      <c r="F6">
        <v>3</v>
      </c>
      <c r="G6" s="19" t="s">
        <v>159</v>
      </c>
      <c r="H6" s="14" t="s">
        <v>903</v>
      </c>
      <c r="I6" t="s">
        <v>160</v>
      </c>
      <c r="J6" s="11" t="s">
        <v>149</v>
      </c>
      <c r="K6" s="13">
        <f t="shared" ref="K6:K15" si="0">L6</f>
        <v>380</v>
      </c>
      <c r="L6" s="13">
        <v>380</v>
      </c>
      <c r="M6" s="13"/>
      <c r="N6" s="13"/>
      <c r="O6" s="13">
        <v>1502.04</v>
      </c>
      <c r="P6" s="13">
        <v>0</v>
      </c>
      <c r="Q6" s="13">
        <v>0</v>
      </c>
      <c r="R6" s="13">
        <v>0</v>
      </c>
      <c r="S6" s="13">
        <v>245.84</v>
      </c>
      <c r="T6" s="13">
        <v>0</v>
      </c>
      <c r="U6" s="13">
        <v>0</v>
      </c>
      <c r="V6" s="13">
        <v>0</v>
      </c>
    </row>
    <row r="7" spans="1:22">
      <c r="A7" t="s">
        <v>161</v>
      </c>
      <c r="B7">
        <v>1</v>
      </c>
      <c r="C7" t="s">
        <v>144</v>
      </c>
      <c r="D7">
        <v>3</v>
      </c>
      <c r="E7" t="s">
        <v>145</v>
      </c>
      <c r="F7">
        <v>3</v>
      </c>
      <c r="G7" s="19" t="s">
        <v>159</v>
      </c>
      <c r="H7" s="14" t="s">
        <v>903</v>
      </c>
      <c r="I7" t="s">
        <v>162</v>
      </c>
      <c r="J7" s="11" t="s">
        <v>149</v>
      </c>
      <c r="K7" s="13">
        <f t="shared" si="0"/>
        <v>472</v>
      </c>
      <c r="L7" s="13">
        <v>472</v>
      </c>
      <c r="M7" s="13"/>
      <c r="N7" s="13"/>
      <c r="O7" s="13">
        <v>2227.9699999999998</v>
      </c>
      <c r="P7" s="13">
        <v>0</v>
      </c>
      <c r="Q7" s="13">
        <v>0</v>
      </c>
      <c r="R7" s="13">
        <v>0</v>
      </c>
      <c r="S7" s="13">
        <v>338.89</v>
      </c>
      <c r="T7" s="13">
        <v>0</v>
      </c>
      <c r="U7" s="13">
        <v>0</v>
      </c>
      <c r="V7" s="13">
        <v>0</v>
      </c>
    </row>
    <row r="8" spans="1:22">
      <c r="A8" t="s">
        <v>163</v>
      </c>
      <c r="B8">
        <v>1</v>
      </c>
      <c r="C8" t="s">
        <v>144</v>
      </c>
      <c r="D8">
        <v>3</v>
      </c>
      <c r="E8" t="s">
        <v>145</v>
      </c>
      <c r="F8">
        <v>3</v>
      </c>
      <c r="G8" s="19" t="s">
        <v>159</v>
      </c>
      <c r="H8" s="14" t="s">
        <v>903</v>
      </c>
      <c r="I8" t="s">
        <v>164</v>
      </c>
      <c r="J8" s="11" t="s">
        <v>149</v>
      </c>
      <c r="K8" s="13">
        <f t="shared" si="0"/>
        <v>500</v>
      </c>
      <c r="L8" s="13">
        <v>500</v>
      </c>
      <c r="M8" s="13"/>
      <c r="N8" s="13"/>
      <c r="O8" s="13">
        <v>1819.96</v>
      </c>
      <c r="P8" s="13">
        <v>0</v>
      </c>
      <c r="Q8" s="13">
        <v>0</v>
      </c>
      <c r="R8" s="13">
        <v>0</v>
      </c>
      <c r="S8" s="13">
        <v>298.86</v>
      </c>
      <c r="T8" s="13">
        <v>0</v>
      </c>
      <c r="U8" s="13">
        <v>0</v>
      </c>
      <c r="V8" s="13">
        <v>0</v>
      </c>
    </row>
    <row r="9" spans="1:22">
      <c r="A9" t="s">
        <v>165</v>
      </c>
      <c r="B9">
        <v>1</v>
      </c>
      <c r="C9" t="s">
        <v>144</v>
      </c>
      <c r="D9">
        <v>3</v>
      </c>
      <c r="E9" t="s">
        <v>145</v>
      </c>
      <c r="F9">
        <v>4</v>
      </c>
      <c r="G9" s="19" t="s">
        <v>166</v>
      </c>
      <c r="H9" s="14" t="s">
        <v>903</v>
      </c>
      <c r="I9" t="s">
        <v>167</v>
      </c>
      <c r="J9" s="11" t="s">
        <v>149</v>
      </c>
      <c r="K9" s="13">
        <f t="shared" si="0"/>
        <v>500</v>
      </c>
      <c r="L9" s="13">
        <v>500</v>
      </c>
      <c r="M9" s="13"/>
      <c r="N9" s="13"/>
      <c r="O9" s="13">
        <v>402.88</v>
      </c>
      <c r="P9" s="13">
        <v>0</v>
      </c>
      <c r="Q9" s="13">
        <v>0</v>
      </c>
      <c r="R9" s="13">
        <v>0</v>
      </c>
      <c r="S9" s="13">
        <v>63.45</v>
      </c>
      <c r="T9" s="13">
        <v>0</v>
      </c>
      <c r="U9" s="13">
        <v>0</v>
      </c>
      <c r="V9" s="13">
        <v>0</v>
      </c>
    </row>
    <row r="10" spans="1:22" ht="14.1" customHeight="1">
      <c r="A10" t="s">
        <v>168</v>
      </c>
      <c r="B10">
        <v>1</v>
      </c>
      <c r="C10" t="s">
        <v>144</v>
      </c>
      <c r="D10">
        <v>3</v>
      </c>
      <c r="E10" t="s">
        <v>145</v>
      </c>
      <c r="F10">
        <v>4</v>
      </c>
      <c r="G10" s="19" t="s">
        <v>166</v>
      </c>
      <c r="H10" s="14" t="s">
        <v>903</v>
      </c>
      <c r="I10" s="12" t="s">
        <v>169</v>
      </c>
      <c r="J10" s="11" t="s">
        <v>149</v>
      </c>
      <c r="K10" s="13">
        <f t="shared" si="0"/>
        <v>900</v>
      </c>
      <c r="L10" s="13">
        <v>900</v>
      </c>
      <c r="M10" s="13"/>
      <c r="N10" s="13"/>
      <c r="O10" s="13">
        <v>683.69</v>
      </c>
      <c r="P10" s="13">
        <v>0</v>
      </c>
      <c r="Q10" s="13">
        <v>0</v>
      </c>
      <c r="R10" s="13">
        <v>0</v>
      </c>
      <c r="S10" s="13">
        <v>111.98</v>
      </c>
      <c r="T10" s="13">
        <v>0</v>
      </c>
      <c r="U10" s="13">
        <v>0</v>
      </c>
      <c r="V10" s="13">
        <v>0</v>
      </c>
    </row>
    <row r="11" spans="1:22" ht="14.1" customHeight="1">
      <c r="A11" t="s">
        <v>170</v>
      </c>
      <c r="B11">
        <v>1</v>
      </c>
      <c r="C11" t="s">
        <v>144</v>
      </c>
      <c r="D11">
        <v>3</v>
      </c>
      <c r="E11" t="s">
        <v>145</v>
      </c>
      <c r="F11">
        <v>4</v>
      </c>
      <c r="G11" s="19" t="s">
        <v>166</v>
      </c>
      <c r="H11" s="14" t="s">
        <v>903</v>
      </c>
      <c r="I11" s="12" t="s">
        <v>171</v>
      </c>
      <c r="J11" s="11" t="s">
        <v>149</v>
      </c>
      <c r="K11" s="13">
        <f t="shared" si="0"/>
        <v>1601</v>
      </c>
      <c r="L11" s="13">
        <v>1601</v>
      </c>
      <c r="M11" s="13"/>
      <c r="N11" s="13"/>
      <c r="O11" s="13">
        <v>5491.2</v>
      </c>
      <c r="P11" s="13">
        <v>0</v>
      </c>
      <c r="Q11" s="13">
        <v>0</v>
      </c>
      <c r="R11" s="13">
        <v>0</v>
      </c>
      <c r="S11" s="13">
        <v>579.74</v>
      </c>
      <c r="T11" s="13">
        <v>0</v>
      </c>
      <c r="U11" s="13">
        <v>0</v>
      </c>
      <c r="V11" s="13">
        <v>0</v>
      </c>
    </row>
    <row r="12" spans="1:22" ht="14.1" customHeight="1">
      <c r="A12" t="s">
        <v>172</v>
      </c>
      <c r="B12">
        <v>1</v>
      </c>
      <c r="C12" t="s">
        <v>144</v>
      </c>
      <c r="D12">
        <v>3</v>
      </c>
      <c r="E12" t="s">
        <v>145</v>
      </c>
      <c r="F12">
        <v>4</v>
      </c>
      <c r="G12" s="19" t="s">
        <v>166</v>
      </c>
      <c r="H12" s="14" t="s">
        <v>903</v>
      </c>
      <c r="I12" s="12" t="s">
        <v>173</v>
      </c>
      <c r="J12" s="11" t="s">
        <v>149</v>
      </c>
      <c r="K12" s="13">
        <f t="shared" si="0"/>
        <v>501</v>
      </c>
      <c r="L12" s="13">
        <v>501</v>
      </c>
      <c r="M12" s="13"/>
      <c r="N12" s="13"/>
      <c r="O12" s="13">
        <v>2357.69</v>
      </c>
      <c r="P12" s="13">
        <v>0</v>
      </c>
      <c r="Q12" s="13">
        <v>0</v>
      </c>
      <c r="R12" s="13">
        <v>0</v>
      </c>
      <c r="S12" s="13">
        <v>262.95999999999998</v>
      </c>
      <c r="T12" s="13">
        <v>0</v>
      </c>
      <c r="U12" s="13">
        <v>0</v>
      </c>
      <c r="V12" s="13">
        <v>0</v>
      </c>
    </row>
    <row r="13" spans="1:22" ht="14.1" customHeight="1">
      <c r="A13" t="s">
        <v>174</v>
      </c>
      <c r="B13">
        <v>1</v>
      </c>
      <c r="C13" t="s">
        <v>144</v>
      </c>
      <c r="D13">
        <v>3</v>
      </c>
      <c r="E13" t="s">
        <v>145</v>
      </c>
      <c r="F13">
        <v>4</v>
      </c>
      <c r="G13" s="19" t="s">
        <v>166</v>
      </c>
      <c r="H13" s="14" t="s">
        <v>903</v>
      </c>
      <c r="I13" s="12" t="s">
        <v>175</v>
      </c>
      <c r="J13" s="11" t="s">
        <v>149</v>
      </c>
      <c r="K13" s="13">
        <f t="shared" si="0"/>
        <v>701</v>
      </c>
      <c r="L13" s="13">
        <v>701</v>
      </c>
      <c r="M13" s="13"/>
      <c r="N13" s="13"/>
      <c r="O13" s="13">
        <v>2902.83</v>
      </c>
      <c r="P13" s="13">
        <v>0</v>
      </c>
      <c r="Q13" s="13">
        <v>0</v>
      </c>
      <c r="R13" s="13">
        <v>0</v>
      </c>
      <c r="S13" s="13">
        <v>322.95999999999998</v>
      </c>
      <c r="T13" s="13">
        <v>0</v>
      </c>
      <c r="U13" s="13">
        <v>0</v>
      </c>
      <c r="V13" s="13">
        <v>0</v>
      </c>
    </row>
    <row r="14" spans="1:22" ht="14.1" customHeight="1">
      <c r="A14" t="s">
        <v>176</v>
      </c>
      <c r="B14">
        <v>1</v>
      </c>
      <c r="C14" t="s">
        <v>144</v>
      </c>
      <c r="D14">
        <v>3</v>
      </c>
      <c r="E14" t="s">
        <v>145</v>
      </c>
      <c r="F14">
        <v>4</v>
      </c>
      <c r="G14" s="19" t="s">
        <v>166</v>
      </c>
      <c r="H14" s="14" t="s">
        <v>903</v>
      </c>
      <c r="I14" s="12" t="s">
        <v>177</v>
      </c>
      <c r="J14" s="11" t="s">
        <v>149</v>
      </c>
      <c r="K14" s="13">
        <f t="shared" si="0"/>
        <v>1400</v>
      </c>
      <c r="L14" s="13">
        <v>1400</v>
      </c>
      <c r="M14" s="13"/>
      <c r="N14" s="13"/>
      <c r="O14" s="13">
        <v>2684.5</v>
      </c>
      <c r="P14" s="13">
        <v>0</v>
      </c>
      <c r="Q14" s="13">
        <v>0</v>
      </c>
      <c r="R14" s="13">
        <v>0</v>
      </c>
      <c r="S14" s="13">
        <v>490.21</v>
      </c>
      <c r="T14" s="13">
        <v>0</v>
      </c>
      <c r="U14" s="13">
        <v>0</v>
      </c>
      <c r="V14" s="13">
        <v>0</v>
      </c>
    </row>
    <row r="15" spans="1:22">
      <c r="A15" t="s">
        <v>178</v>
      </c>
      <c r="B15">
        <v>1</v>
      </c>
      <c r="C15" t="s">
        <v>144</v>
      </c>
      <c r="D15">
        <v>3</v>
      </c>
      <c r="E15" t="s">
        <v>145</v>
      </c>
      <c r="F15">
        <v>5</v>
      </c>
      <c r="G15" s="19" t="s">
        <v>179</v>
      </c>
      <c r="H15" s="14" t="s">
        <v>903</v>
      </c>
      <c r="I15" t="s">
        <v>180</v>
      </c>
      <c r="J15" s="11" t="s">
        <v>149</v>
      </c>
      <c r="K15" s="13">
        <f t="shared" si="0"/>
        <v>2000</v>
      </c>
      <c r="L15" s="13">
        <v>2000</v>
      </c>
      <c r="M15" s="13"/>
      <c r="N15" s="13"/>
      <c r="O15" s="13">
        <v>1551.65</v>
      </c>
      <c r="P15" s="13">
        <v>0</v>
      </c>
      <c r="Q15" s="13">
        <v>0</v>
      </c>
      <c r="R15" s="13">
        <v>0</v>
      </c>
      <c r="S15" s="13">
        <v>314.45</v>
      </c>
      <c r="T15" s="13">
        <v>0</v>
      </c>
      <c r="U15" s="13">
        <v>0</v>
      </c>
      <c r="V15" s="13">
        <v>0</v>
      </c>
    </row>
    <row r="16" spans="1:22">
      <c r="A16" t="s">
        <v>181</v>
      </c>
      <c r="B16">
        <v>1</v>
      </c>
      <c r="C16" t="s">
        <v>144</v>
      </c>
      <c r="D16">
        <v>3</v>
      </c>
      <c r="E16" t="s">
        <v>145</v>
      </c>
      <c r="F16">
        <v>5</v>
      </c>
      <c r="G16" s="19" t="s">
        <v>179</v>
      </c>
      <c r="H16" s="14" t="s">
        <v>903</v>
      </c>
      <c r="I16" t="s">
        <v>182</v>
      </c>
      <c r="J16" s="11" t="s">
        <v>157</v>
      </c>
      <c r="K16" s="13">
        <f t="shared" ref="K16:K24" si="1">M16</f>
        <v>504</v>
      </c>
      <c r="L16" s="13">
        <f>M16*5</f>
        <v>2520</v>
      </c>
      <c r="M16" s="13">
        <v>504</v>
      </c>
      <c r="N16" s="13"/>
      <c r="O16" s="13">
        <v>678.74</v>
      </c>
      <c r="P16" s="13">
        <v>0</v>
      </c>
      <c r="Q16" s="13">
        <v>0</v>
      </c>
      <c r="R16" s="13">
        <v>0</v>
      </c>
      <c r="S16" s="13">
        <v>116.81</v>
      </c>
      <c r="T16" s="13">
        <v>0</v>
      </c>
      <c r="U16" s="13">
        <v>0</v>
      </c>
      <c r="V16" s="13">
        <v>0</v>
      </c>
    </row>
    <row r="17" spans="1:22">
      <c r="A17" t="s">
        <v>183</v>
      </c>
      <c r="B17">
        <v>1</v>
      </c>
      <c r="C17" t="s">
        <v>144</v>
      </c>
      <c r="D17">
        <v>3</v>
      </c>
      <c r="E17" t="s">
        <v>145</v>
      </c>
      <c r="F17">
        <v>5</v>
      </c>
      <c r="G17" s="19" t="s">
        <v>179</v>
      </c>
      <c r="H17" s="14" t="s">
        <v>903</v>
      </c>
      <c r="I17" t="s">
        <v>184</v>
      </c>
      <c r="J17" s="11" t="s">
        <v>157</v>
      </c>
      <c r="K17" s="13">
        <f t="shared" si="1"/>
        <v>291.3</v>
      </c>
      <c r="L17" s="13">
        <f>M17/12*100</f>
        <v>2427.5</v>
      </c>
      <c r="M17" s="13">
        <v>291.3</v>
      </c>
      <c r="N17" s="13"/>
      <c r="O17" s="13">
        <v>261.86</v>
      </c>
      <c r="P17" s="13">
        <v>0</v>
      </c>
      <c r="Q17" s="13">
        <v>0</v>
      </c>
      <c r="R17" s="13">
        <v>0</v>
      </c>
      <c r="S17" s="13">
        <v>50.2</v>
      </c>
      <c r="T17" s="13">
        <v>0</v>
      </c>
      <c r="U17" s="13">
        <v>0</v>
      </c>
      <c r="V17" s="13">
        <v>0</v>
      </c>
    </row>
    <row r="18" spans="1:22" ht="14.1" customHeight="1">
      <c r="A18" t="s">
        <v>185</v>
      </c>
      <c r="B18">
        <v>1</v>
      </c>
      <c r="C18" t="s">
        <v>144</v>
      </c>
      <c r="D18">
        <v>3</v>
      </c>
      <c r="E18" t="s">
        <v>145</v>
      </c>
      <c r="F18">
        <v>8</v>
      </c>
      <c r="G18" t="s">
        <v>186</v>
      </c>
      <c r="H18" s="14" t="s">
        <v>903</v>
      </c>
      <c r="I18" s="12" t="s">
        <v>187</v>
      </c>
      <c r="J18" s="11" t="s">
        <v>157</v>
      </c>
      <c r="K18" s="13">
        <f t="shared" si="1"/>
        <v>52</v>
      </c>
      <c r="L18" s="13"/>
      <c r="M18" s="13">
        <v>52</v>
      </c>
      <c r="N18" s="13"/>
      <c r="O18" s="13">
        <v>258.02</v>
      </c>
      <c r="P18" s="13">
        <v>0</v>
      </c>
      <c r="Q18" s="13">
        <v>0</v>
      </c>
      <c r="R18" s="13">
        <v>0</v>
      </c>
      <c r="S18" s="13">
        <v>19.690000000000001</v>
      </c>
      <c r="T18" s="13">
        <v>0</v>
      </c>
      <c r="U18" s="13">
        <v>0</v>
      </c>
      <c r="V18" s="13">
        <v>0</v>
      </c>
    </row>
    <row r="19" spans="1:22" ht="14.1" customHeight="1">
      <c r="A19" t="s">
        <v>188</v>
      </c>
      <c r="B19">
        <v>1</v>
      </c>
      <c r="C19" t="s">
        <v>144</v>
      </c>
      <c r="D19">
        <v>3</v>
      </c>
      <c r="E19" t="s">
        <v>145</v>
      </c>
      <c r="F19">
        <v>8</v>
      </c>
      <c r="G19" t="s">
        <v>186</v>
      </c>
      <c r="H19" s="14" t="s">
        <v>903</v>
      </c>
      <c r="I19" s="12" t="s">
        <v>189</v>
      </c>
      <c r="J19" s="11" t="s">
        <v>157</v>
      </c>
      <c r="K19" s="13">
        <f t="shared" si="1"/>
        <v>78</v>
      </c>
      <c r="L19" s="13"/>
      <c r="M19" s="13">
        <v>78</v>
      </c>
      <c r="N19" s="13"/>
      <c r="O19" s="13">
        <v>511.46</v>
      </c>
      <c r="P19" s="13">
        <v>0</v>
      </c>
      <c r="Q19" s="13">
        <v>0</v>
      </c>
      <c r="R19" s="13">
        <v>0</v>
      </c>
      <c r="S19" s="13">
        <v>39.03</v>
      </c>
      <c r="T19" s="13">
        <v>0</v>
      </c>
      <c r="U19" s="13">
        <v>0</v>
      </c>
      <c r="V19" s="13">
        <v>0</v>
      </c>
    </row>
    <row r="20" spans="1:22" ht="14.1" customHeight="1">
      <c r="A20" t="s">
        <v>190</v>
      </c>
      <c r="B20">
        <v>1</v>
      </c>
      <c r="C20" t="s">
        <v>144</v>
      </c>
      <c r="D20">
        <v>3</v>
      </c>
      <c r="E20" t="s">
        <v>145</v>
      </c>
      <c r="F20">
        <v>8</v>
      </c>
      <c r="G20" t="s">
        <v>186</v>
      </c>
      <c r="H20" s="14" t="s">
        <v>903</v>
      </c>
      <c r="I20" s="12" t="s">
        <v>191</v>
      </c>
      <c r="J20" s="11" t="s">
        <v>157</v>
      </c>
      <c r="K20" s="13">
        <f t="shared" si="1"/>
        <v>52</v>
      </c>
      <c r="L20" s="13"/>
      <c r="M20" s="13">
        <v>52</v>
      </c>
      <c r="N20" s="13"/>
      <c r="O20" s="13">
        <v>499.42</v>
      </c>
      <c r="P20" s="13">
        <v>0</v>
      </c>
      <c r="Q20" s="13">
        <v>0</v>
      </c>
      <c r="R20" s="13">
        <v>0</v>
      </c>
      <c r="S20" s="13">
        <v>38.11</v>
      </c>
      <c r="T20" s="13">
        <v>0</v>
      </c>
      <c r="U20" s="13">
        <v>0</v>
      </c>
      <c r="V20" s="13">
        <v>0</v>
      </c>
    </row>
    <row r="21" spans="1:22" ht="14.1" customHeight="1">
      <c r="A21" t="s">
        <v>192</v>
      </c>
      <c r="B21">
        <v>1</v>
      </c>
      <c r="C21" t="s">
        <v>144</v>
      </c>
      <c r="D21">
        <v>3</v>
      </c>
      <c r="E21" t="s">
        <v>145</v>
      </c>
      <c r="F21">
        <v>8</v>
      </c>
      <c r="G21" t="s">
        <v>186</v>
      </c>
      <c r="H21" s="14" t="s">
        <v>903</v>
      </c>
      <c r="I21" s="12" t="s">
        <v>193</v>
      </c>
      <c r="J21" s="11" t="s">
        <v>157</v>
      </c>
      <c r="K21" s="13">
        <f t="shared" si="1"/>
        <v>104</v>
      </c>
      <c r="L21" s="13"/>
      <c r="M21" s="13">
        <v>104</v>
      </c>
      <c r="N21" s="13"/>
      <c r="O21" s="13">
        <v>260.64</v>
      </c>
      <c r="P21" s="13">
        <v>0</v>
      </c>
      <c r="Q21" s="13">
        <v>0</v>
      </c>
      <c r="R21" s="13">
        <v>0</v>
      </c>
      <c r="S21" s="13">
        <v>19.87</v>
      </c>
      <c r="T21" s="13">
        <v>0</v>
      </c>
      <c r="U21" s="13">
        <v>0</v>
      </c>
      <c r="V21" s="13">
        <v>0</v>
      </c>
    </row>
    <row r="22" spans="1:22" ht="14.1" customHeight="1">
      <c r="A22" t="s">
        <v>194</v>
      </c>
      <c r="B22">
        <v>1</v>
      </c>
      <c r="C22" t="s">
        <v>144</v>
      </c>
      <c r="D22">
        <v>3</v>
      </c>
      <c r="E22" t="s">
        <v>145</v>
      </c>
      <c r="F22">
        <v>8</v>
      </c>
      <c r="G22" t="s">
        <v>186</v>
      </c>
      <c r="H22" s="14" t="s">
        <v>903</v>
      </c>
      <c r="I22" s="12" t="s">
        <v>195</v>
      </c>
      <c r="J22" s="11" t="s">
        <v>157</v>
      </c>
      <c r="K22" s="13">
        <f t="shared" si="1"/>
        <v>52</v>
      </c>
      <c r="L22" s="13"/>
      <c r="M22" s="13">
        <v>52</v>
      </c>
      <c r="N22" s="13"/>
      <c r="O22" s="13">
        <v>236.56</v>
      </c>
      <c r="P22" s="13">
        <v>0</v>
      </c>
      <c r="Q22" s="13">
        <v>0</v>
      </c>
      <c r="R22" s="13">
        <v>0</v>
      </c>
      <c r="S22" s="13">
        <v>18.059999999999999</v>
      </c>
      <c r="T22" s="13">
        <v>0</v>
      </c>
      <c r="U22" s="13">
        <v>0</v>
      </c>
      <c r="V22" s="13">
        <v>0</v>
      </c>
    </row>
    <row r="23" spans="1:22">
      <c r="A23" t="s">
        <v>196</v>
      </c>
      <c r="B23">
        <v>1</v>
      </c>
      <c r="C23" t="s">
        <v>144</v>
      </c>
      <c r="D23">
        <v>3</v>
      </c>
      <c r="E23" t="s">
        <v>145</v>
      </c>
      <c r="F23">
        <v>10</v>
      </c>
      <c r="G23" t="s">
        <v>197</v>
      </c>
      <c r="H23" s="14" t="s">
        <v>903</v>
      </c>
      <c r="I23" t="s">
        <v>198</v>
      </c>
      <c r="J23" s="11" t="s">
        <v>157</v>
      </c>
      <c r="K23" s="13">
        <f t="shared" si="1"/>
        <v>45</v>
      </c>
      <c r="L23" s="13"/>
      <c r="M23" s="13">
        <v>45</v>
      </c>
      <c r="N23" s="13"/>
      <c r="O23" s="13">
        <v>229.29</v>
      </c>
      <c r="P23" s="13">
        <v>0</v>
      </c>
      <c r="Q23" s="13">
        <v>0</v>
      </c>
      <c r="R23" s="13">
        <v>0</v>
      </c>
      <c r="S23" s="13">
        <v>15.31</v>
      </c>
      <c r="T23" s="13">
        <v>0</v>
      </c>
      <c r="U23" s="13">
        <v>0</v>
      </c>
      <c r="V23" s="13">
        <v>0</v>
      </c>
    </row>
    <row r="24" spans="1:22">
      <c r="A24" t="s">
        <v>199</v>
      </c>
      <c r="B24">
        <v>1</v>
      </c>
      <c r="C24" t="s">
        <v>144</v>
      </c>
      <c r="D24">
        <v>3</v>
      </c>
      <c r="E24" t="s">
        <v>145</v>
      </c>
      <c r="F24">
        <v>11</v>
      </c>
      <c r="G24" s="19" t="s">
        <v>200</v>
      </c>
      <c r="H24" s="14" t="s">
        <v>903</v>
      </c>
      <c r="I24" t="s">
        <v>201</v>
      </c>
      <c r="J24" s="11" t="s">
        <v>157</v>
      </c>
      <c r="K24" s="13">
        <f t="shared" si="1"/>
        <v>42</v>
      </c>
      <c r="L24" s="13"/>
      <c r="M24" s="13">
        <v>42</v>
      </c>
      <c r="N24" s="13"/>
      <c r="O24" s="13">
        <v>132.99</v>
      </c>
      <c r="P24" s="13">
        <v>0</v>
      </c>
      <c r="Q24" s="13">
        <v>0</v>
      </c>
      <c r="R24" s="13">
        <v>0</v>
      </c>
      <c r="S24" s="13">
        <v>17.82</v>
      </c>
      <c r="T24" s="13">
        <v>0</v>
      </c>
      <c r="U24" s="13">
        <v>0</v>
      </c>
      <c r="V24" s="13">
        <v>0</v>
      </c>
    </row>
    <row r="25" spans="1:22" ht="14.1" customHeight="1">
      <c r="A25" t="s">
        <v>202</v>
      </c>
      <c r="B25">
        <v>1</v>
      </c>
      <c r="C25" t="s">
        <v>144</v>
      </c>
      <c r="D25">
        <v>3</v>
      </c>
      <c r="E25" t="s">
        <v>145</v>
      </c>
      <c r="F25">
        <v>12</v>
      </c>
      <c r="G25" s="19" t="s">
        <v>203</v>
      </c>
      <c r="H25" s="14" t="s">
        <v>903</v>
      </c>
      <c r="I25" s="12" t="s">
        <v>204</v>
      </c>
      <c r="J25" s="11" t="s">
        <v>157</v>
      </c>
      <c r="K25" s="13"/>
      <c r="L25" s="13">
        <v>1300</v>
      </c>
      <c r="M25" s="13"/>
      <c r="N25" s="13"/>
      <c r="O25" s="13">
        <v>106.17</v>
      </c>
      <c r="P25" s="13">
        <v>0</v>
      </c>
      <c r="Q25" s="13">
        <v>0</v>
      </c>
      <c r="R25" s="13">
        <v>0</v>
      </c>
      <c r="S25" s="13">
        <v>10.039999999999999</v>
      </c>
      <c r="T25" s="13">
        <v>0</v>
      </c>
      <c r="U25" s="13">
        <v>0</v>
      </c>
      <c r="V25" s="13">
        <v>0</v>
      </c>
    </row>
    <row r="26" spans="1:22" ht="14.1" customHeight="1">
      <c r="A26" t="s">
        <v>205</v>
      </c>
      <c r="B26">
        <v>1</v>
      </c>
      <c r="C26" t="s">
        <v>144</v>
      </c>
      <c r="D26">
        <v>3</v>
      </c>
      <c r="E26" t="s">
        <v>145</v>
      </c>
      <c r="F26">
        <v>13</v>
      </c>
      <c r="G26" t="s">
        <v>206</v>
      </c>
      <c r="H26" s="14" t="s">
        <v>903</v>
      </c>
      <c r="I26" s="12" t="s">
        <v>207</v>
      </c>
      <c r="J26" s="11" t="s">
        <v>157</v>
      </c>
      <c r="K26" s="13">
        <v>10</v>
      </c>
      <c r="L26" s="13"/>
      <c r="M26" s="13">
        <v>10</v>
      </c>
      <c r="N26" s="13"/>
      <c r="O26" s="13">
        <v>41.56</v>
      </c>
      <c r="P26" s="13">
        <v>0</v>
      </c>
      <c r="Q26" s="13">
        <v>0</v>
      </c>
      <c r="R26" s="13">
        <v>0</v>
      </c>
      <c r="S26" s="13">
        <v>2.11</v>
      </c>
      <c r="T26" s="13">
        <v>0</v>
      </c>
      <c r="U26" s="13">
        <v>0</v>
      </c>
      <c r="V26" s="13">
        <v>0</v>
      </c>
    </row>
    <row r="27" spans="1:22" ht="14.1" customHeight="1">
      <c r="A27" t="s">
        <v>208</v>
      </c>
      <c r="B27">
        <v>1</v>
      </c>
      <c r="C27" t="s">
        <v>144</v>
      </c>
      <c r="D27">
        <v>3</v>
      </c>
      <c r="E27" t="s">
        <v>145</v>
      </c>
      <c r="F27">
        <v>13</v>
      </c>
      <c r="G27" t="s">
        <v>206</v>
      </c>
      <c r="H27" s="14" t="s">
        <v>903</v>
      </c>
      <c r="I27" s="12" t="s">
        <v>209</v>
      </c>
      <c r="J27" s="11" t="s">
        <v>157</v>
      </c>
      <c r="K27" s="13">
        <v>10</v>
      </c>
      <c r="L27" s="13"/>
      <c r="M27" s="13">
        <v>10</v>
      </c>
      <c r="N27" s="13"/>
      <c r="O27" s="13">
        <v>43.47</v>
      </c>
      <c r="P27" s="13">
        <v>0</v>
      </c>
      <c r="Q27" s="13">
        <v>0</v>
      </c>
      <c r="R27" s="13">
        <v>0</v>
      </c>
      <c r="S27" s="13">
        <v>2.2400000000000002</v>
      </c>
      <c r="T27" s="13">
        <v>0</v>
      </c>
      <c r="U27" s="13">
        <v>0</v>
      </c>
      <c r="V27" s="13">
        <v>0</v>
      </c>
    </row>
    <row r="28" spans="1:22" ht="14.1" customHeight="1">
      <c r="A28" t="s">
        <v>210</v>
      </c>
      <c r="B28">
        <v>1</v>
      </c>
      <c r="C28" t="s">
        <v>144</v>
      </c>
      <c r="D28">
        <v>3</v>
      </c>
      <c r="E28" t="s">
        <v>145</v>
      </c>
      <c r="F28">
        <v>13</v>
      </c>
      <c r="G28" t="s">
        <v>206</v>
      </c>
      <c r="H28" s="14" t="s">
        <v>903</v>
      </c>
      <c r="I28" s="12" t="s">
        <v>211</v>
      </c>
      <c r="J28" s="11" t="s">
        <v>157</v>
      </c>
      <c r="K28" s="13">
        <v>10</v>
      </c>
      <c r="L28" s="13"/>
      <c r="M28" s="13">
        <v>10</v>
      </c>
      <c r="N28" s="13"/>
      <c r="O28" s="13">
        <v>59.75</v>
      </c>
      <c r="P28" s="13">
        <v>0</v>
      </c>
      <c r="Q28" s="13">
        <v>0</v>
      </c>
      <c r="R28" s="13">
        <v>0</v>
      </c>
      <c r="S28" s="13">
        <v>4.0199999999999996</v>
      </c>
      <c r="T28" s="13">
        <v>0</v>
      </c>
      <c r="U28" s="13">
        <v>0</v>
      </c>
      <c r="V28" s="13">
        <v>0</v>
      </c>
    </row>
    <row r="29" spans="1:22" ht="14.1" customHeight="1">
      <c r="A29" t="s">
        <v>212</v>
      </c>
      <c r="B29">
        <v>1</v>
      </c>
      <c r="C29" t="s">
        <v>144</v>
      </c>
      <c r="D29">
        <v>3</v>
      </c>
      <c r="E29" t="s">
        <v>145</v>
      </c>
      <c r="F29">
        <v>17</v>
      </c>
      <c r="G29" t="s">
        <v>213</v>
      </c>
      <c r="H29" s="14" t="s">
        <v>903</v>
      </c>
      <c r="I29" s="12" t="s">
        <v>214</v>
      </c>
      <c r="J29" s="11" t="s">
        <v>149</v>
      </c>
      <c r="K29" s="13">
        <f t="shared" ref="K29:K35" si="2">L29</f>
        <v>1200</v>
      </c>
      <c r="L29" s="13">
        <v>1200</v>
      </c>
      <c r="M29" s="13"/>
      <c r="N29" s="13"/>
      <c r="O29" s="13">
        <v>139.01</v>
      </c>
      <c r="P29" s="13">
        <v>0</v>
      </c>
      <c r="Q29" s="13">
        <v>0</v>
      </c>
      <c r="R29" s="13">
        <v>0</v>
      </c>
      <c r="S29" s="13">
        <v>121.54</v>
      </c>
      <c r="T29" s="13">
        <v>0</v>
      </c>
      <c r="U29" s="13">
        <v>0</v>
      </c>
      <c r="V29" s="13">
        <v>0</v>
      </c>
    </row>
    <row r="30" spans="1:22" ht="14.1" customHeight="1">
      <c r="A30" t="s">
        <v>215</v>
      </c>
      <c r="B30">
        <v>1</v>
      </c>
      <c r="C30" t="s">
        <v>144</v>
      </c>
      <c r="D30">
        <v>3</v>
      </c>
      <c r="E30" t="s">
        <v>145</v>
      </c>
      <c r="F30">
        <v>17</v>
      </c>
      <c r="G30" t="s">
        <v>213</v>
      </c>
      <c r="H30" s="14" t="s">
        <v>903</v>
      </c>
      <c r="I30" s="12" t="s">
        <v>216</v>
      </c>
      <c r="J30" s="11" t="s">
        <v>149</v>
      </c>
      <c r="K30" s="13">
        <f t="shared" si="2"/>
        <v>2000</v>
      </c>
      <c r="L30" s="13">
        <v>2000</v>
      </c>
      <c r="M30" s="13"/>
      <c r="N30" s="13"/>
      <c r="O30" s="13">
        <v>154.25</v>
      </c>
      <c r="P30" s="13">
        <v>0</v>
      </c>
      <c r="Q30" s="13">
        <v>0</v>
      </c>
      <c r="R30" s="13">
        <v>0</v>
      </c>
      <c r="S30" s="13">
        <v>12.34</v>
      </c>
      <c r="T30" s="13">
        <v>0</v>
      </c>
      <c r="U30" s="13">
        <v>0</v>
      </c>
      <c r="V30" s="13">
        <v>0</v>
      </c>
    </row>
    <row r="31" spans="1:22">
      <c r="A31" t="s">
        <v>217</v>
      </c>
      <c r="B31">
        <v>1</v>
      </c>
      <c r="C31" t="s">
        <v>144</v>
      </c>
      <c r="D31">
        <v>4</v>
      </c>
      <c r="E31" t="s">
        <v>218</v>
      </c>
      <c r="F31">
        <v>1</v>
      </c>
      <c r="G31" s="19" t="s">
        <v>219</v>
      </c>
      <c r="H31" s="14" t="s">
        <v>903</v>
      </c>
      <c r="I31" t="s">
        <v>220</v>
      </c>
      <c r="J31" s="11" t="s">
        <v>149</v>
      </c>
      <c r="K31" s="13">
        <f t="shared" si="2"/>
        <v>2297</v>
      </c>
      <c r="L31" s="13">
        <v>2297</v>
      </c>
      <c r="M31" s="13"/>
      <c r="N31" s="13"/>
      <c r="O31" s="13">
        <v>961.06</v>
      </c>
      <c r="P31" s="13">
        <v>0</v>
      </c>
      <c r="Q31" s="13">
        <v>0</v>
      </c>
      <c r="R31" s="13">
        <v>0</v>
      </c>
      <c r="S31" s="13">
        <v>274.77</v>
      </c>
      <c r="T31" s="13">
        <v>0</v>
      </c>
      <c r="U31" s="13">
        <v>0</v>
      </c>
      <c r="V31" s="13">
        <v>0</v>
      </c>
    </row>
    <row r="32" spans="1:22" ht="14.1" customHeight="1">
      <c r="A32" t="s">
        <v>221</v>
      </c>
      <c r="B32">
        <v>1</v>
      </c>
      <c r="C32" t="s">
        <v>144</v>
      </c>
      <c r="D32">
        <v>4</v>
      </c>
      <c r="E32" t="s">
        <v>218</v>
      </c>
      <c r="F32">
        <v>1</v>
      </c>
      <c r="G32" s="19" t="s">
        <v>219</v>
      </c>
      <c r="H32" s="14" t="s">
        <v>903</v>
      </c>
      <c r="I32" s="12" t="s">
        <v>222</v>
      </c>
      <c r="J32" s="11" t="s">
        <v>149</v>
      </c>
      <c r="K32" s="13">
        <f t="shared" si="2"/>
        <v>2300</v>
      </c>
      <c r="L32" s="13">
        <v>2300</v>
      </c>
      <c r="M32" s="13"/>
      <c r="N32" s="13"/>
      <c r="O32" s="13">
        <v>1050.04</v>
      </c>
      <c r="P32" s="13">
        <v>0</v>
      </c>
      <c r="Q32" s="13">
        <v>0</v>
      </c>
      <c r="R32" s="13">
        <v>0</v>
      </c>
      <c r="S32" s="13">
        <v>304.43</v>
      </c>
      <c r="T32" s="13">
        <v>0</v>
      </c>
      <c r="U32" s="13">
        <v>0</v>
      </c>
      <c r="V32" s="13">
        <v>0</v>
      </c>
    </row>
    <row r="33" spans="1:22">
      <c r="A33" t="s">
        <v>223</v>
      </c>
      <c r="B33">
        <v>1</v>
      </c>
      <c r="C33" t="s">
        <v>144</v>
      </c>
      <c r="D33">
        <v>4</v>
      </c>
      <c r="E33" t="s">
        <v>218</v>
      </c>
      <c r="F33">
        <v>1</v>
      </c>
      <c r="G33" s="19" t="s">
        <v>219</v>
      </c>
      <c r="H33" s="14" t="s">
        <v>903</v>
      </c>
      <c r="I33" t="s">
        <v>224</v>
      </c>
      <c r="J33" s="11" t="s">
        <v>149</v>
      </c>
      <c r="K33" s="13">
        <f t="shared" si="2"/>
        <v>2306</v>
      </c>
      <c r="L33" s="13">
        <v>2306</v>
      </c>
      <c r="M33" s="13"/>
      <c r="N33" s="13"/>
      <c r="O33" s="13">
        <v>1199.17</v>
      </c>
      <c r="P33" s="13">
        <v>0</v>
      </c>
      <c r="Q33" s="13">
        <v>0</v>
      </c>
      <c r="R33" s="13">
        <v>0</v>
      </c>
      <c r="S33" s="13">
        <v>353.86</v>
      </c>
      <c r="T33" s="13">
        <v>0</v>
      </c>
      <c r="U33" s="13">
        <v>0</v>
      </c>
      <c r="V33" s="13">
        <v>0</v>
      </c>
    </row>
    <row r="34" spans="1:22">
      <c r="A34" t="s">
        <v>225</v>
      </c>
      <c r="B34">
        <v>1</v>
      </c>
      <c r="C34" t="s">
        <v>144</v>
      </c>
      <c r="D34">
        <v>4</v>
      </c>
      <c r="E34" t="s">
        <v>218</v>
      </c>
      <c r="F34">
        <v>1</v>
      </c>
      <c r="G34" s="19" t="s">
        <v>219</v>
      </c>
      <c r="H34" s="14" t="s">
        <v>903</v>
      </c>
      <c r="I34" t="s">
        <v>226</v>
      </c>
      <c r="J34" s="11" t="s">
        <v>149</v>
      </c>
      <c r="K34" s="13">
        <f t="shared" si="2"/>
        <v>2316.6</v>
      </c>
      <c r="L34" s="13">
        <v>2316.6</v>
      </c>
      <c r="M34" s="13"/>
      <c r="N34" s="13"/>
      <c r="O34" s="13">
        <v>1477.5</v>
      </c>
      <c r="P34" s="13">
        <v>0</v>
      </c>
      <c r="Q34" s="13">
        <v>0</v>
      </c>
      <c r="R34" s="13">
        <v>0</v>
      </c>
      <c r="S34" s="13">
        <v>446.82</v>
      </c>
      <c r="T34" s="13">
        <v>0</v>
      </c>
      <c r="U34" s="13">
        <v>0</v>
      </c>
      <c r="V34" s="13">
        <v>0</v>
      </c>
    </row>
    <row r="35" spans="1:22" ht="14.1" customHeight="1">
      <c r="A35" t="s">
        <v>227</v>
      </c>
      <c r="B35">
        <v>1</v>
      </c>
      <c r="C35" t="s">
        <v>144</v>
      </c>
      <c r="D35">
        <v>4</v>
      </c>
      <c r="E35" t="s">
        <v>218</v>
      </c>
      <c r="F35">
        <v>2</v>
      </c>
      <c r="G35" s="19" t="s">
        <v>228</v>
      </c>
      <c r="H35" s="14" t="s">
        <v>903</v>
      </c>
      <c r="I35" s="12" t="s">
        <v>229</v>
      </c>
      <c r="J35" s="11" t="s">
        <v>149</v>
      </c>
      <c r="K35" s="13">
        <f t="shared" si="2"/>
        <v>2000</v>
      </c>
      <c r="L35" s="13">
        <v>2000</v>
      </c>
      <c r="M35" s="13"/>
      <c r="N35" s="13"/>
      <c r="O35" s="13">
        <v>1531.06</v>
      </c>
      <c r="P35" s="13">
        <v>0</v>
      </c>
      <c r="Q35" s="13">
        <v>0</v>
      </c>
      <c r="R35" s="13">
        <v>0</v>
      </c>
      <c r="S35" s="13">
        <v>432.13</v>
      </c>
      <c r="T35" s="13">
        <v>0</v>
      </c>
      <c r="U35" s="13">
        <v>0</v>
      </c>
      <c r="V35" s="13">
        <v>0</v>
      </c>
    </row>
    <row r="36" spans="1:22" ht="14.1" customHeight="1">
      <c r="A36" t="s">
        <v>230</v>
      </c>
      <c r="B36">
        <v>1</v>
      </c>
      <c r="C36" t="s">
        <v>144</v>
      </c>
      <c r="D36">
        <v>4</v>
      </c>
      <c r="E36" t="s">
        <v>218</v>
      </c>
      <c r="F36">
        <v>3</v>
      </c>
      <c r="G36" s="19" t="s">
        <v>231</v>
      </c>
      <c r="H36" s="14" t="s">
        <v>903</v>
      </c>
      <c r="I36" s="12" t="s">
        <v>232</v>
      </c>
      <c r="J36" s="11" t="s">
        <v>233</v>
      </c>
      <c r="K36" s="13">
        <v>1</v>
      </c>
      <c r="L36" s="13">
        <v>2400</v>
      </c>
      <c r="M36" s="13"/>
      <c r="N36" s="13"/>
      <c r="O36" s="13">
        <v>1.64</v>
      </c>
      <c r="P36" s="13">
        <v>0</v>
      </c>
      <c r="Q36" s="13">
        <v>0</v>
      </c>
      <c r="R36" s="13">
        <v>0</v>
      </c>
      <c r="S36" s="13">
        <v>0.25</v>
      </c>
      <c r="T36" s="13">
        <v>0</v>
      </c>
      <c r="U36" s="13">
        <v>0</v>
      </c>
      <c r="V36" s="13">
        <v>0</v>
      </c>
    </row>
    <row r="37" spans="1:22">
      <c r="A37" t="s">
        <v>234</v>
      </c>
      <c r="B37">
        <v>1</v>
      </c>
      <c r="C37" t="s">
        <v>144</v>
      </c>
      <c r="D37">
        <v>4</v>
      </c>
      <c r="E37" t="s">
        <v>218</v>
      </c>
      <c r="F37">
        <v>4</v>
      </c>
      <c r="G37" s="19" t="s">
        <v>235</v>
      </c>
      <c r="H37" s="14" t="s">
        <v>903</v>
      </c>
      <c r="I37" t="s">
        <v>236</v>
      </c>
      <c r="J37" s="11" t="s">
        <v>149</v>
      </c>
      <c r="K37" s="13">
        <f t="shared" ref="K37:K52" si="3">L37</f>
        <v>1800</v>
      </c>
      <c r="L37" s="13">
        <v>1800</v>
      </c>
      <c r="M37" s="13"/>
      <c r="N37" s="13"/>
      <c r="O37" s="13">
        <v>2694.17</v>
      </c>
      <c r="P37" s="13">
        <v>0</v>
      </c>
      <c r="Q37" s="13">
        <v>0</v>
      </c>
      <c r="R37" s="13">
        <v>0</v>
      </c>
      <c r="S37" s="13">
        <v>417.87</v>
      </c>
      <c r="T37" s="13">
        <v>0</v>
      </c>
      <c r="U37" s="13">
        <v>0</v>
      </c>
      <c r="V37" s="13">
        <v>0</v>
      </c>
    </row>
    <row r="38" spans="1:22">
      <c r="A38" t="s">
        <v>237</v>
      </c>
      <c r="B38">
        <v>1</v>
      </c>
      <c r="C38" t="s">
        <v>144</v>
      </c>
      <c r="D38">
        <v>4</v>
      </c>
      <c r="E38" t="s">
        <v>218</v>
      </c>
      <c r="F38">
        <v>4</v>
      </c>
      <c r="G38" s="19" t="s">
        <v>235</v>
      </c>
      <c r="H38" s="14" t="s">
        <v>903</v>
      </c>
      <c r="I38" t="s">
        <v>238</v>
      </c>
      <c r="J38" s="11" t="s">
        <v>149</v>
      </c>
      <c r="K38" s="13">
        <f t="shared" si="3"/>
        <v>900</v>
      </c>
      <c r="L38" s="13">
        <v>900</v>
      </c>
      <c r="M38" s="13"/>
      <c r="N38" s="13"/>
      <c r="O38" s="13">
        <v>2349.44</v>
      </c>
      <c r="P38" s="13">
        <v>0</v>
      </c>
      <c r="Q38" s="13">
        <v>0</v>
      </c>
      <c r="R38" s="13">
        <v>0</v>
      </c>
      <c r="S38" s="13">
        <v>250.74</v>
      </c>
      <c r="T38" s="13">
        <v>0</v>
      </c>
      <c r="U38" s="13">
        <v>0</v>
      </c>
      <c r="V38" s="13">
        <v>0</v>
      </c>
    </row>
    <row r="39" spans="1:22">
      <c r="A39" t="s">
        <v>239</v>
      </c>
      <c r="B39">
        <v>1</v>
      </c>
      <c r="C39" t="s">
        <v>144</v>
      </c>
      <c r="D39">
        <v>4</v>
      </c>
      <c r="E39" t="s">
        <v>218</v>
      </c>
      <c r="F39">
        <v>4</v>
      </c>
      <c r="G39" s="19" t="s">
        <v>235</v>
      </c>
      <c r="H39" s="14" t="s">
        <v>903</v>
      </c>
      <c r="I39" t="s">
        <v>240</v>
      </c>
      <c r="J39" s="11" t="s">
        <v>149</v>
      </c>
      <c r="K39" s="13">
        <f t="shared" si="3"/>
        <v>1700</v>
      </c>
      <c r="L39" s="13">
        <v>1700</v>
      </c>
      <c r="M39" s="13"/>
      <c r="N39" s="13"/>
      <c r="O39" s="13">
        <v>2800.14</v>
      </c>
      <c r="P39" s="15">
        <v>0</v>
      </c>
      <c r="Q39" s="13">
        <v>0</v>
      </c>
      <c r="R39" s="13">
        <v>0</v>
      </c>
      <c r="S39" s="13">
        <v>1351.46</v>
      </c>
      <c r="T39" s="13">
        <v>0</v>
      </c>
      <c r="U39" s="13">
        <v>0</v>
      </c>
      <c r="V39" s="13">
        <v>0</v>
      </c>
    </row>
    <row r="40" spans="1:22">
      <c r="A40" t="s">
        <v>241</v>
      </c>
      <c r="B40">
        <v>1</v>
      </c>
      <c r="C40" t="s">
        <v>144</v>
      </c>
      <c r="D40">
        <v>4</v>
      </c>
      <c r="E40" t="s">
        <v>218</v>
      </c>
      <c r="F40">
        <v>4</v>
      </c>
      <c r="G40" s="19" t="s">
        <v>235</v>
      </c>
      <c r="H40" s="14" t="s">
        <v>903</v>
      </c>
      <c r="I40" t="s">
        <v>242</v>
      </c>
      <c r="J40" s="11" t="s">
        <v>149</v>
      </c>
      <c r="K40" s="13">
        <f t="shared" si="3"/>
        <v>900</v>
      </c>
      <c r="L40" s="13">
        <v>900</v>
      </c>
      <c r="M40" s="13"/>
      <c r="N40" s="13"/>
      <c r="O40" s="13">
        <v>1156.43</v>
      </c>
      <c r="P40" s="13">
        <v>0</v>
      </c>
      <c r="Q40" s="13">
        <v>0</v>
      </c>
      <c r="R40" s="13">
        <v>0</v>
      </c>
      <c r="S40" s="13">
        <v>124.02</v>
      </c>
      <c r="T40" s="13">
        <v>0</v>
      </c>
      <c r="U40" s="13">
        <v>0</v>
      </c>
      <c r="V40" s="13">
        <v>0</v>
      </c>
    </row>
    <row r="41" spans="1:22">
      <c r="A41" t="s">
        <v>243</v>
      </c>
      <c r="B41">
        <v>2</v>
      </c>
      <c r="C41" t="s">
        <v>244</v>
      </c>
      <c r="D41">
        <v>1</v>
      </c>
      <c r="E41" t="s">
        <v>245</v>
      </c>
      <c r="F41">
        <v>1</v>
      </c>
      <c r="G41" t="s">
        <v>245</v>
      </c>
      <c r="H41" s="14" t="s">
        <v>903</v>
      </c>
      <c r="I41" t="s">
        <v>246</v>
      </c>
      <c r="J41" s="11" t="s">
        <v>149</v>
      </c>
      <c r="K41" s="13">
        <f t="shared" si="3"/>
        <v>85</v>
      </c>
      <c r="L41" s="13">
        <v>85</v>
      </c>
      <c r="M41" s="13"/>
      <c r="N41" s="13"/>
      <c r="O41" s="13">
        <v>2054.6999999999998</v>
      </c>
      <c r="P41" s="13">
        <v>0</v>
      </c>
      <c r="Q41" s="13">
        <v>0</v>
      </c>
      <c r="R41" s="13">
        <v>0</v>
      </c>
      <c r="S41" s="13">
        <v>158.56</v>
      </c>
      <c r="T41" s="13">
        <v>0</v>
      </c>
      <c r="U41" s="13">
        <v>0</v>
      </c>
      <c r="V41" s="13">
        <v>0</v>
      </c>
    </row>
    <row r="42" spans="1:22">
      <c r="A42" t="s">
        <v>247</v>
      </c>
      <c r="B42">
        <v>2</v>
      </c>
      <c r="C42" t="s">
        <v>244</v>
      </c>
      <c r="D42">
        <v>1</v>
      </c>
      <c r="E42" t="s">
        <v>245</v>
      </c>
      <c r="F42">
        <v>1</v>
      </c>
      <c r="G42" t="s">
        <v>245</v>
      </c>
      <c r="H42" s="14" t="s">
        <v>903</v>
      </c>
      <c r="I42" t="s">
        <v>248</v>
      </c>
      <c r="J42" s="11" t="s">
        <v>149</v>
      </c>
      <c r="K42" s="13">
        <f t="shared" si="3"/>
        <v>46.25</v>
      </c>
      <c r="L42" s="13">
        <v>46.25</v>
      </c>
      <c r="M42" s="13"/>
      <c r="N42" s="13"/>
      <c r="O42" s="13">
        <v>971.52</v>
      </c>
      <c r="P42" s="13">
        <v>0</v>
      </c>
      <c r="Q42" s="13">
        <v>0</v>
      </c>
      <c r="R42" s="13">
        <v>0</v>
      </c>
      <c r="S42" s="13">
        <v>81.81</v>
      </c>
      <c r="T42" s="13">
        <v>0</v>
      </c>
      <c r="U42" s="13">
        <v>0</v>
      </c>
      <c r="V42" s="13">
        <v>0</v>
      </c>
    </row>
    <row r="43" spans="1:22">
      <c r="A43" t="s">
        <v>249</v>
      </c>
      <c r="B43">
        <v>2</v>
      </c>
      <c r="C43" t="s">
        <v>244</v>
      </c>
      <c r="D43">
        <v>1</v>
      </c>
      <c r="E43" t="s">
        <v>245</v>
      </c>
      <c r="F43">
        <v>1</v>
      </c>
      <c r="G43" t="s">
        <v>245</v>
      </c>
      <c r="H43" s="14" t="s">
        <v>903</v>
      </c>
      <c r="I43" t="s">
        <v>250</v>
      </c>
      <c r="J43" s="11" t="s">
        <v>149</v>
      </c>
      <c r="K43" s="13">
        <f t="shared" si="3"/>
        <v>145</v>
      </c>
      <c r="L43" s="13">
        <v>145</v>
      </c>
      <c r="M43" s="13"/>
      <c r="N43" s="13"/>
      <c r="O43" s="13">
        <v>2380.86</v>
      </c>
      <c r="P43" s="13">
        <v>0</v>
      </c>
      <c r="Q43" s="13">
        <v>0</v>
      </c>
      <c r="R43" s="13">
        <v>0</v>
      </c>
      <c r="S43" s="13">
        <v>236.25</v>
      </c>
      <c r="T43" s="13">
        <v>0</v>
      </c>
      <c r="U43" s="13">
        <v>0</v>
      </c>
      <c r="V43" s="13">
        <v>0</v>
      </c>
    </row>
    <row r="44" spans="1:22">
      <c r="A44" t="s">
        <v>251</v>
      </c>
      <c r="B44">
        <v>2</v>
      </c>
      <c r="C44" t="s">
        <v>244</v>
      </c>
      <c r="D44">
        <v>2</v>
      </c>
      <c r="E44" t="s">
        <v>252</v>
      </c>
      <c r="F44">
        <v>1</v>
      </c>
      <c r="G44" t="s">
        <v>253</v>
      </c>
      <c r="H44" s="14" t="s">
        <v>903</v>
      </c>
      <c r="I44" t="s">
        <v>254</v>
      </c>
      <c r="J44" s="11" t="s">
        <v>149</v>
      </c>
      <c r="K44" s="13">
        <f t="shared" si="3"/>
        <v>25</v>
      </c>
      <c r="L44" s="13">
        <v>25</v>
      </c>
      <c r="M44" s="13"/>
      <c r="N44" s="13"/>
      <c r="O44" s="13">
        <v>2462.2600000000002</v>
      </c>
      <c r="P44" s="13">
        <v>0</v>
      </c>
      <c r="Q44" s="13">
        <v>0</v>
      </c>
      <c r="R44" s="13">
        <v>0</v>
      </c>
      <c r="S44" s="13">
        <v>93.63</v>
      </c>
      <c r="T44" s="13">
        <v>0</v>
      </c>
      <c r="U44" s="13">
        <v>0</v>
      </c>
      <c r="V44" s="13">
        <v>0</v>
      </c>
    </row>
    <row r="45" spans="1:22">
      <c r="A45" t="s">
        <v>255</v>
      </c>
      <c r="B45">
        <v>2</v>
      </c>
      <c r="C45" t="s">
        <v>244</v>
      </c>
      <c r="D45">
        <v>3</v>
      </c>
      <c r="E45" t="s">
        <v>256</v>
      </c>
      <c r="F45">
        <v>1</v>
      </c>
      <c r="G45" t="s">
        <v>257</v>
      </c>
      <c r="H45" s="14" t="s">
        <v>903</v>
      </c>
      <c r="I45" t="s">
        <v>258</v>
      </c>
      <c r="J45" s="11" t="s">
        <v>149</v>
      </c>
      <c r="K45" s="13">
        <f t="shared" si="3"/>
        <v>32</v>
      </c>
      <c r="L45" s="13">
        <v>32</v>
      </c>
      <c r="M45" s="13"/>
      <c r="N45" s="13"/>
      <c r="O45" s="13">
        <v>2869.41</v>
      </c>
      <c r="P45" s="13">
        <v>0</v>
      </c>
      <c r="Q45" s="13">
        <v>0</v>
      </c>
      <c r="R45" s="13">
        <v>0</v>
      </c>
      <c r="S45" s="13">
        <v>109.86</v>
      </c>
      <c r="T45" s="13">
        <v>0</v>
      </c>
      <c r="U45" s="13">
        <v>0</v>
      </c>
      <c r="V45" s="13">
        <v>0</v>
      </c>
    </row>
    <row r="46" spans="1:22" ht="14.1" customHeight="1">
      <c r="A46" t="s">
        <v>259</v>
      </c>
      <c r="B46">
        <v>2</v>
      </c>
      <c r="C46" t="s">
        <v>244</v>
      </c>
      <c r="D46">
        <v>7</v>
      </c>
      <c r="E46" t="s">
        <v>260</v>
      </c>
      <c r="F46">
        <v>1</v>
      </c>
      <c r="G46" t="s">
        <v>260</v>
      </c>
      <c r="H46" s="14" t="s">
        <v>903</v>
      </c>
      <c r="I46" s="12" t="s">
        <v>261</v>
      </c>
      <c r="J46" s="11" t="s">
        <v>149</v>
      </c>
      <c r="K46" s="13">
        <f t="shared" si="3"/>
        <v>360</v>
      </c>
      <c r="L46" s="13">
        <v>360</v>
      </c>
      <c r="M46" s="13"/>
      <c r="N46" s="13"/>
      <c r="O46" s="13">
        <v>2753.36</v>
      </c>
      <c r="P46" s="13"/>
      <c r="Q46" s="13"/>
      <c r="R46" s="13"/>
      <c r="S46" s="13">
        <v>25.18</v>
      </c>
      <c r="T46" s="13"/>
      <c r="U46" s="13"/>
      <c r="V46" s="13"/>
    </row>
    <row r="47" spans="1:22">
      <c r="A47" t="s">
        <v>262</v>
      </c>
      <c r="B47">
        <v>2</v>
      </c>
      <c r="C47" t="s">
        <v>244</v>
      </c>
      <c r="D47">
        <v>20</v>
      </c>
      <c r="E47" t="s">
        <v>263</v>
      </c>
      <c r="F47">
        <v>1</v>
      </c>
      <c r="G47" t="s">
        <v>264</v>
      </c>
      <c r="H47" s="14" t="s">
        <v>903</v>
      </c>
      <c r="I47" t="s">
        <v>265</v>
      </c>
      <c r="J47" s="11" t="s">
        <v>149</v>
      </c>
      <c r="K47" s="13">
        <f t="shared" si="3"/>
        <v>115</v>
      </c>
      <c r="L47" s="13">
        <v>115</v>
      </c>
      <c r="M47" s="13"/>
      <c r="N47" s="13"/>
      <c r="O47" s="13">
        <v>2126.29</v>
      </c>
      <c r="P47" s="13">
        <v>0</v>
      </c>
      <c r="Q47" s="13">
        <v>0</v>
      </c>
      <c r="R47" s="13">
        <v>0</v>
      </c>
      <c r="S47" s="13">
        <v>224.6</v>
      </c>
      <c r="T47" s="13">
        <v>0</v>
      </c>
      <c r="U47" s="13">
        <v>0</v>
      </c>
      <c r="V47" s="13">
        <v>0</v>
      </c>
    </row>
    <row r="48" spans="1:22" ht="14.1" customHeight="1">
      <c r="A48" t="s">
        <v>266</v>
      </c>
      <c r="B48">
        <v>3</v>
      </c>
      <c r="C48" t="s">
        <v>267</v>
      </c>
      <c r="D48">
        <v>1</v>
      </c>
      <c r="E48" t="s">
        <v>268</v>
      </c>
      <c r="F48">
        <v>2</v>
      </c>
      <c r="G48" t="s">
        <v>269</v>
      </c>
      <c r="H48" s="14" t="s">
        <v>903</v>
      </c>
      <c r="I48" s="12" t="s">
        <v>270</v>
      </c>
      <c r="J48" s="11" t="s">
        <v>149</v>
      </c>
      <c r="K48" s="13">
        <f t="shared" si="3"/>
        <v>529</v>
      </c>
      <c r="L48" s="13">
        <v>529</v>
      </c>
      <c r="M48" s="13"/>
      <c r="N48" s="13"/>
      <c r="O48" s="13">
        <v>3331.86</v>
      </c>
      <c r="P48" s="13"/>
      <c r="Q48" s="13"/>
      <c r="R48" s="13"/>
      <c r="S48" s="13">
        <v>-556.79</v>
      </c>
      <c r="T48" s="13"/>
      <c r="U48" s="13"/>
      <c r="V48" s="13"/>
    </row>
    <row r="49" spans="1:22" ht="14.1" customHeight="1">
      <c r="A49" t="s">
        <v>271</v>
      </c>
      <c r="B49">
        <v>3</v>
      </c>
      <c r="C49" t="s">
        <v>267</v>
      </c>
      <c r="D49">
        <v>1</v>
      </c>
      <c r="E49" t="s">
        <v>268</v>
      </c>
      <c r="F49">
        <v>3</v>
      </c>
      <c r="G49" t="s">
        <v>272</v>
      </c>
      <c r="H49" s="14" t="s">
        <v>903</v>
      </c>
      <c r="I49" s="12" t="s">
        <v>273</v>
      </c>
      <c r="J49" s="11" t="s">
        <v>149</v>
      </c>
      <c r="K49" s="13">
        <f t="shared" si="3"/>
        <v>515.20000000000005</v>
      </c>
      <c r="L49" s="13">
        <v>515.20000000000005</v>
      </c>
      <c r="M49" s="13"/>
      <c r="N49" s="13"/>
      <c r="O49" s="13">
        <v>3936.13</v>
      </c>
      <c r="P49" s="13"/>
      <c r="Q49" s="13"/>
      <c r="R49" s="13"/>
      <c r="S49" s="13">
        <v>-516.17999999999995</v>
      </c>
      <c r="T49" s="13"/>
      <c r="U49" s="13"/>
      <c r="V49" s="13"/>
    </row>
    <row r="50" spans="1:22" ht="14.1" customHeight="1">
      <c r="A50" t="s">
        <v>274</v>
      </c>
      <c r="B50">
        <v>3</v>
      </c>
      <c r="C50" t="s">
        <v>267</v>
      </c>
      <c r="D50">
        <v>1</v>
      </c>
      <c r="E50" t="s">
        <v>268</v>
      </c>
      <c r="F50">
        <v>4</v>
      </c>
      <c r="G50" t="s">
        <v>275</v>
      </c>
      <c r="H50" s="14" t="s">
        <v>903</v>
      </c>
      <c r="I50" s="12" t="s">
        <v>276</v>
      </c>
      <c r="J50" s="11" t="s">
        <v>149</v>
      </c>
      <c r="K50" s="13">
        <f t="shared" si="3"/>
        <v>515.20000000000005</v>
      </c>
      <c r="L50" s="13">
        <v>515.20000000000005</v>
      </c>
      <c r="M50" s="13"/>
      <c r="N50" s="13"/>
      <c r="O50" s="13">
        <v>4050.8</v>
      </c>
      <c r="P50" s="13"/>
      <c r="Q50" s="13"/>
      <c r="R50" s="13"/>
      <c r="S50" s="13">
        <v>-513.79</v>
      </c>
      <c r="T50" s="13"/>
      <c r="U50" s="13"/>
      <c r="V50" s="13"/>
    </row>
    <row r="51" spans="1:22" ht="14.1" customHeight="1">
      <c r="A51" t="s">
        <v>277</v>
      </c>
      <c r="B51">
        <v>3</v>
      </c>
      <c r="C51" t="s">
        <v>267</v>
      </c>
      <c r="D51">
        <v>2</v>
      </c>
      <c r="E51" t="s">
        <v>278</v>
      </c>
      <c r="F51">
        <v>2</v>
      </c>
      <c r="G51" t="s">
        <v>279</v>
      </c>
      <c r="H51" s="14" t="s">
        <v>903</v>
      </c>
      <c r="I51" s="12" t="s">
        <v>280</v>
      </c>
      <c r="J51" s="11" t="s">
        <v>149</v>
      </c>
      <c r="K51" s="13">
        <f t="shared" si="3"/>
        <v>490.6</v>
      </c>
      <c r="L51" s="13">
        <v>490.6</v>
      </c>
      <c r="M51" s="13"/>
      <c r="N51" s="13"/>
      <c r="O51" s="13">
        <v>4223.4399999999996</v>
      </c>
      <c r="P51" s="13"/>
      <c r="Q51" s="13"/>
      <c r="R51" s="13"/>
      <c r="S51" s="13">
        <v>-634.1</v>
      </c>
      <c r="T51" s="13"/>
      <c r="U51" s="13"/>
      <c r="V51" s="13"/>
    </row>
    <row r="52" spans="1:22" ht="14.1" customHeight="1">
      <c r="A52" t="s">
        <v>281</v>
      </c>
      <c r="B52">
        <v>3</v>
      </c>
      <c r="C52" t="s">
        <v>267</v>
      </c>
      <c r="D52">
        <v>2</v>
      </c>
      <c r="E52" t="s">
        <v>278</v>
      </c>
      <c r="F52">
        <v>6</v>
      </c>
      <c r="G52" t="s">
        <v>282</v>
      </c>
      <c r="H52" s="14" t="s">
        <v>903</v>
      </c>
      <c r="I52" s="12" t="s">
        <v>283</v>
      </c>
      <c r="J52" s="11" t="s">
        <v>149</v>
      </c>
      <c r="K52" s="13">
        <f t="shared" si="3"/>
        <v>700</v>
      </c>
      <c r="L52" s="13">
        <v>700</v>
      </c>
      <c r="M52" s="13"/>
      <c r="N52" s="13"/>
      <c r="O52" s="13">
        <v>6074.91</v>
      </c>
      <c r="P52" s="13"/>
      <c r="Q52" s="13"/>
      <c r="R52" s="13"/>
      <c r="S52" s="13">
        <v>-738.31</v>
      </c>
      <c r="T52" s="13"/>
      <c r="U52" s="13"/>
      <c r="V52" s="13"/>
    </row>
    <row r="53" spans="1:22" ht="14.1" customHeight="1">
      <c r="A53" t="s">
        <v>284</v>
      </c>
      <c r="B53">
        <v>3</v>
      </c>
      <c r="C53" t="s">
        <v>267</v>
      </c>
      <c r="D53">
        <v>3</v>
      </c>
      <c r="E53" t="s">
        <v>285</v>
      </c>
      <c r="F53">
        <v>1</v>
      </c>
      <c r="G53" t="s">
        <v>286</v>
      </c>
      <c r="H53" s="14" t="s">
        <v>903</v>
      </c>
      <c r="I53" s="12" t="s">
        <v>287</v>
      </c>
      <c r="J53" s="11" t="s">
        <v>157</v>
      </c>
      <c r="K53" s="13">
        <f>M53</f>
        <v>7.09</v>
      </c>
      <c r="L53" s="13"/>
      <c r="M53" s="13">
        <v>7.09</v>
      </c>
      <c r="N53" s="13"/>
      <c r="O53" s="13">
        <v>212.33</v>
      </c>
      <c r="P53" s="13"/>
      <c r="Q53" s="13"/>
      <c r="R53" s="13"/>
      <c r="S53" s="13">
        <v>-1.1599999999999999</v>
      </c>
      <c r="T53" s="13"/>
      <c r="U53" s="13"/>
      <c r="V53" s="13"/>
    </row>
    <row r="54" spans="1:22">
      <c r="A54" t="s">
        <v>288</v>
      </c>
      <c r="B54">
        <v>4</v>
      </c>
      <c r="C54" t="s">
        <v>289</v>
      </c>
      <c r="D54">
        <v>1</v>
      </c>
      <c r="E54" t="s">
        <v>290</v>
      </c>
      <c r="F54">
        <v>2</v>
      </c>
      <c r="G54" t="s">
        <v>291</v>
      </c>
      <c r="H54" s="14" t="s">
        <v>903</v>
      </c>
      <c r="I54" t="s">
        <v>292</v>
      </c>
      <c r="J54" s="11" t="s">
        <v>233</v>
      </c>
      <c r="K54" s="13">
        <v>1</v>
      </c>
      <c r="L54" s="13">
        <v>7850</v>
      </c>
      <c r="M54" s="13"/>
      <c r="N54" s="13"/>
      <c r="O54" s="13">
        <v>27.17</v>
      </c>
      <c r="P54" s="13">
        <v>0</v>
      </c>
      <c r="Q54" s="13">
        <v>0</v>
      </c>
      <c r="R54" s="13">
        <v>0</v>
      </c>
      <c r="S54" s="13">
        <v>2.2000000000000002</v>
      </c>
      <c r="T54" s="13">
        <v>0</v>
      </c>
      <c r="U54" s="13">
        <v>0</v>
      </c>
      <c r="V54" s="13">
        <v>0</v>
      </c>
    </row>
    <row r="55" spans="1:22">
      <c r="A55" t="s">
        <v>293</v>
      </c>
      <c r="B55">
        <v>4</v>
      </c>
      <c r="C55" t="s">
        <v>289</v>
      </c>
      <c r="D55">
        <v>1</v>
      </c>
      <c r="E55" t="s">
        <v>290</v>
      </c>
      <c r="F55">
        <v>2</v>
      </c>
      <c r="G55" t="s">
        <v>291</v>
      </c>
      <c r="H55" s="14" t="s">
        <v>903</v>
      </c>
      <c r="I55" t="s">
        <v>294</v>
      </c>
      <c r="J55" s="11" t="s">
        <v>295</v>
      </c>
      <c r="K55" s="13">
        <f>L55</f>
        <v>7850</v>
      </c>
      <c r="L55" s="13">
        <v>7850</v>
      </c>
      <c r="M55" s="13"/>
      <c r="N55" s="13"/>
      <c r="O55" s="13">
        <v>21987.87</v>
      </c>
      <c r="P55" s="13">
        <v>0</v>
      </c>
      <c r="Q55" s="13">
        <v>0</v>
      </c>
      <c r="R55" s="13">
        <v>0</v>
      </c>
      <c r="S55" s="13">
        <v>1906.34</v>
      </c>
      <c r="T55" s="13">
        <v>0</v>
      </c>
      <c r="U55" s="13">
        <v>0</v>
      </c>
      <c r="V55" s="13">
        <v>0</v>
      </c>
    </row>
    <row r="56" spans="1:22" ht="14.1" customHeight="1">
      <c r="A56" t="s">
        <v>296</v>
      </c>
      <c r="B56">
        <v>4</v>
      </c>
      <c r="C56" t="s">
        <v>289</v>
      </c>
      <c r="D56">
        <v>1</v>
      </c>
      <c r="E56" t="s">
        <v>290</v>
      </c>
      <c r="F56">
        <v>3</v>
      </c>
      <c r="G56" t="s">
        <v>297</v>
      </c>
      <c r="H56" s="14" t="s">
        <v>903</v>
      </c>
      <c r="I56" s="12" t="s">
        <v>298</v>
      </c>
      <c r="J56" s="11" t="s">
        <v>295</v>
      </c>
      <c r="K56" s="13">
        <f>L56</f>
        <v>7850</v>
      </c>
      <c r="L56" s="13">
        <v>7850</v>
      </c>
      <c r="M56" s="13"/>
      <c r="N56" s="13"/>
      <c r="O56" s="13">
        <v>31577.35</v>
      </c>
      <c r="P56" s="13">
        <v>0</v>
      </c>
      <c r="Q56" s="13">
        <v>0</v>
      </c>
      <c r="R56" s="13">
        <v>0</v>
      </c>
      <c r="S56" s="13">
        <v>1962.38</v>
      </c>
      <c r="T56" s="13">
        <v>0</v>
      </c>
      <c r="U56" s="13">
        <v>0</v>
      </c>
      <c r="V56" s="13">
        <v>0</v>
      </c>
    </row>
    <row r="57" spans="1:22" ht="14.1" customHeight="1">
      <c r="A57" t="s">
        <v>299</v>
      </c>
      <c r="B57">
        <v>4</v>
      </c>
      <c r="C57" t="s">
        <v>289</v>
      </c>
      <c r="D57">
        <v>1</v>
      </c>
      <c r="E57" t="s">
        <v>290</v>
      </c>
      <c r="F57">
        <v>3</v>
      </c>
      <c r="G57" t="s">
        <v>297</v>
      </c>
      <c r="H57" s="14" t="s">
        <v>903</v>
      </c>
      <c r="I57" s="12" t="s">
        <v>300</v>
      </c>
      <c r="J57" s="11" t="s">
        <v>233</v>
      </c>
      <c r="K57" s="13">
        <v>1</v>
      </c>
      <c r="L57" s="13">
        <v>7850</v>
      </c>
      <c r="M57" s="13"/>
      <c r="N57" s="13"/>
      <c r="O57" s="13">
        <v>33.200000000000003</v>
      </c>
      <c r="P57" s="13">
        <v>0</v>
      </c>
      <c r="Q57" s="13">
        <v>0</v>
      </c>
      <c r="R57" s="13">
        <v>0</v>
      </c>
      <c r="S57" s="13">
        <v>3.47</v>
      </c>
      <c r="T57" s="13">
        <v>0</v>
      </c>
      <c r="U57" s="13">
        <v>0</v>
      </c>
      <c r="V57" s="13">
        <v>0</v>
      </c>
    </row>
    <row r="58" spans="1:22" ht="14.1" customHeight="1">
      <c r="A58" t="s">
        <v>301</v>
      </c>
      <c r="B58">
        <v>4</v>
      </c>
      <c r="C58" t="s">
        <v>289</v>
      </c>
      <c r="D58">
        <v>1</v>
      </c>
      <c r="E58" t="s">
        <v>290</v>
      </c>
      <c r="F58">
        <v>4</v>
      </c>
      <c r="G58" s="12" t="s">
        <v>302</v>
      </c>
      <c r="H58" s="14" t="s">
        <v>903</v>
      </c>
      <c r="I58" s="12" t="s">
        <v>303</v>
      </c>
      <c r="J58" s="11" t="s">
        <v>157</v>
      </c>
      <c r="K58" s="13">
        <f>M58</f>
        <v>5.72</v>
      </c>
      <c r="L58" s="13"/>
      <c r="M58" s="13">
        <v>5.72</v>
      </c>
      <c r="N58" s="13"/>
      <c r="O58" s="13">
        <v>194.23</v>
      </c>
      <c r="P58" s="13">
        <v>0</v>
      </c>
      <c r="Q58" s="13">
        <v>0</v>
      </c>
      <c r="R58" s="13">
        <v>0</v>
      </c>
      <c r="S58" s="13">
        <v>20.88</v>
      </c>
      <c r="T58" s="13">
        <v>0</v>
      </c>
      <c r="U58" s="13">
        <v>0</v>
      </c>
      <c r="V58" s="13">
        <v>0</v>
      </c>
    </row>
    <row r="59" spans="1:22" ht="14.1" customHeight="1">
      <c r="A59" t="s">
        <v>304</v>
      </c>
      <c r="B59">
        <v>4</v>
      </c>
      <c r="C59" t="s">
        <v>289</v>
      </c>
      <c r="D59">
        <v>1</v>
      </c>
      <c r="E59" t="s">
        <v>290</v>
      </c>
      <c r="F59">
        <v>5</v>
      </c>
      <c r="G59" t="s">
        <v>305</v>
      </c>
      <c r="H59" s="14" t="s">
        <v>903</v>
      </c>
      <c r="I59" s="12" t="s">
        <v>306</v>
      </c>
      <c r="J59" s="11" t="s">
        <v>233</v>
      </c>
      <c r="K59" s="13">
        <v>1</v>
      </c>
      <c r="L59" s="13"/>
      <c r="M59" s="13"/>
      <c r="N59" s="13"/>
      <c r="O59" s="13">
        <v>16.63</v>
      </c>
      <c r="P59" s="13">
        <v>0</v>
      </c>
      <c r="Q59" s="13">
        <v>0</v>
      </c>
      <c r="R59" s="13">
        <v>0</v>
      </c>
      <c r="S59" s="13">
        <v>1.76</v>
      </c>
      <c r="T59" s="13">
        <v>0</v>
      </c>
      <c r="U59" s="13">
        <v>0</v>
      </c>
      <c r="V59" s="13">
        <v>0</v>
      </c>
    </row>
    <row r="60" spans="1:22" ht="14.1" customHeight="1">
      <c r="A60" t="s">
        <v>307</v>
      </c>
      <c r="B60">
        <v>5</v>
      </c>
      <c r="C60" t="s">
        <v>308</v>
      </c>
      <c r="D60">
        <v>1</v>
      </c>
      <c r="E60" t="s">
        <v>309</v>
      </c>
      <c r="F60">
        <v>1</v>
      </c>
      <c r="G60" t="s">
        <v>310</v>
      </c>
      <c r="H60" s="14" t="s">
        <v>903</v>
      </c>
      <c r="I60" s="12" t="s">
        <v>311</v>
      </c>
      <c r="J60" s="11" t="s">
        <v>233</v>
      </c>
      <c r="K60" s="13">
        <v>1</v>
      </c>
      <c r="L60" s="13"/>
      <c r="M60" s="13"/>
      <c r="N60" s="13"/>
      <c r="O60" s="13">
        <v>19.440000000000001</v>
      </c>
      <c r="P60" s="13">
        <v>0</v>
      </c>
      <c r="Q60" s="13">
        <v>0</v>
      </c>
      <c r="R60" s="13">
        <v>0</v>
      </c>
      <c r="S60" s="13">
        <v>1.01</v>
      </c>
      <c r="T60" s="13">
        <v>0</v>
      </c>
      <c r="U60" s="13">
        <v>0</v>
      </c>
      <c r="V60" s="13">
        <v>0</v>
      </c>
    </row>
    <row r="61" spans="1:22" ht="14.1" customHeight="1">
      <c r="A61" t="s">
        <v>312</v>
      </c>
      <c r="B61">
        <v>5</v>
      </c>
      <c r="C61" t="s">
        <v>308</v>
      </c>
      <c r="D61">
        <v>1</v>
      </c>
      <c r="E61" t="s">
        <v>309</v>
      </c>
      <c r="F61">
        <v>1</v>
      </c>
      <c r="G61" t="s">
        <v>310</v>
      </c>
      <c r="H61" s="14" t="s">
        <v>903</v>
      </c>
      <c r="I61" s="12" t="s">
        <v>313</v>
      </c>
      <c r="J61" s="11" t="s">
        <v>233</v>
      </c>
      <c r="K61" s="13">
        <v>1</v>
      </c>
      <c r="L61" s="13"/>
      <c r="M61" s="13"/>
      <c r="N61" s="13"/>
      <c r="O61" s="13">
        <v>17.55</v>
      </c>
      <c r="P61" s="13">
        <v>0</v>
      </c>
      <c r="Q61" s="13">
        <v>0</v>
      </c>
      <c r="R61" s="13">
        <v>0</v>
      </c>
      <c r="S61" s="13">
        <v>0.93</v>
      </c>
      <c r="T61" s="13">
        <v>0</v>
      </c>
      <c r="U61" s="13">
        <v>0</v>
      </c>
      <c r="V61" s="13">
        <v>0</v>
      </c>
    </row>
    <row r="62" spans="1:22">
      <c r="A62" t="s">
        <v>314</v>
      </c>
      <c r="B62">
        <v>6</v>
      </c>
      <c r="C62" t="s">
        <v>315</v>
      </c>
      <c r="D62">
        <v>3</v>
      </c>
      <c r="E62" t="s">
        <v>316</v>
      </c>
      <c r="F62">
        <v>1</v>
      </c>
      <c r="G62" t="s">
        <v>317</v>
      </c>
      <c r="H62" s="14" t="s">
        <v>903</v>
      </c>
      <c r="I62" t="s">
        <v>318</v>
      </c>
      <c r="J62" s="11" t="s">
        <v>157</v>
      </c>
      <c r="K62" s="13">
        <f>M62</f>
        <v>5</v>
      </c>
      <c r="L62" s="13"/>
      <c r="M62" s="13">
        <v>5</v>
      </c>
      <c r="N62" s="13"/>
      <c r="O62" s="13">
        <v>205.39</v>
      </c>
      <c r="P62" s="13">
        <v>0</v>
      </c>
      <c r="Q62" s="13">
        <v>0</v>
      </c>
      <c r="R62" s="13">
        <v>0</v>
      </c>
      <c r="S62" s="13">
        <v>3.18</v>
      </c>
      <c r="T62" s="13">
        <v>0</v>
      </c>
      <c r="U62" s="13">
        <v>0</v>
      </c>
      <c r="V62" s="13">
        <v>0</v>
      </c>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KH</v>
      </c>
      <c r="I64" s="12" t="str">
        <f t="shared" ref="I64:I72" si="5">A64</f>
        <v>CONCRETE generic data for modelling with BoQ</v>
      </c>
      <c r="J64" s="14" t="str">
        <f>J33</f>
        <v>m³</v>
      </c>
      <c r="K64" s="15">
        <f>K33</f>
        <v>2306</v>
      </c>
      <c r="L64" s="15">
        <f>L33</f>
        <v>2306</v>
      </c>
      <c r="M64" s="15"/>
      <c r="N64" s="15"/>
      <c r="O64" s="15">
        <f>O33</f>
        <v>1199.17</v>
      </c>
      <c r="P64" s="15"/>
      <c r="Q64" s="15"/>
      <c r="R64" s="15"/>
      <c r="S64" s="15">
        <f>S33</f>
        <v>353.86</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KH</v>
      </c>
      <c r="I65" s="12" t="str">
        <f t="shared" si="5"/>
        <v>STEEL generic data for modelling with BoQ</v>
      </c>
      <c r="J65" s="14" t="str">
        <f>J56</f>
        <v>t</v>
      </c>
      <c r="K65" s="15">
        <f>K56</f>
        <v>7850</v>
      </c>
      <c r="L65" s="15">
        <f>L56</f>
        <v>7850</v>
      </c>
      <c r="M65" s="15"/>
      <c r="N65" s="15"/>
      <c r="O65" s="15">
        <f>O56</f>
        <v>31577.35</v>
      </c>
      <c r="P65" s="15"/>
      <c r="Q65" s="15"/>
      <c r="R65" s="15"/>
      <c r="S65" s="15">
        <f>S56</f>
        <v>1962.38</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KH</v>
      </c>
      <c r="I66" t="str">
        <f t="shared" si="5"/>
        <v>PLASTER generic data for modelling with BoQ</v>
      </c>
      <c r="J66" s="14" t="str">
        <f>J38</f>
        <v>m³</v>
      </c>
      <c r="K66" s="15">
        <f>K38</f>
        <v>900</v>
      </c>
      <c r="L66" s="15">
        <f>L38</f>
        <v>900</v>
      </c>
      <c r="M66" s="15"/>
      <c r="N66" s="15"/>
      <c r="O66" s="15">
        <f>O38</f>
        <v>2349.44</v>
      </c>
      <c r="P66" s="15"/>
      <c r="Q66" s="15"/>
      <c r="R66" s="15"/>
      <c r="S66" s="15">
        <f>S38</f>
        <v>250.74</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KH</v>
      </c>
      <c r="I67" t="str">
        <f t="shared" si="5"/>
        <v>CEMENT SCREED generic data for modelling with BoQ</v>
      </c>
      <c r="J67" s="14" t="str">
        <f>J36</f>
        <v>kg</v>
      </c>
      <c r="K67" s="15">
        <f>K36</f>
        <v>1</v>
      </c>
      <c r="L67" s="15">
        <f>L36</f>
        <v>2400</v>
      </c>
      <c r="M67" s="15"/>
      <c r="N67" s="15"/>
      <c r="O67" s="15">
        <f>O36</f>
        <v>1.64</v>
      </c>
      <c r="P67" s="15"/>
      <c r="Q67" s="15"/>
      <c r="R67" s="15"/>
      <c r="S67" s="15">
        <f>S36</f>
        <v>0.25</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KH</v>
      </c>
      <c r="I68" t="str">
        <f t="shared" si="5"/>
        <v>FLOOR FINISH generic data for modelling with BoQ</v>
      </c>
      <c r="J68" s="14" t="str">
        <f>J18</f>
        <v>m²</v>
      </c>
      <c r="K68" s="15">
        <f>K18</f>
        <v>52</v>
      </c>
      <c r="L68" s="15"/>
      <c r="M68" s="15">
        <f>M18</f>
        <v>52</v>
      </c>
      <c r="N68" s="15"/>
      <c r="O68" s="15">
        <f>O18</f>
        <v>258.02</v>
      </c>
      <c r="P68" s="15"/>
      <c r="Q68" s="15"/>
      <c r="R68" s="15"/>
      <c r="S68" s="15">
        <f>S18</f>
        <v>19.690000000000001</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KH</v>
      </c>
      <c r="I69" t="str">
        <f t="shared" si="5"/>
        <v>AAC BLOCK generic data for modelling with BoQ</v>
      </c>
      <c r="J69" s="14" t="str">
        <f>J8</f>
        <v>m³</v>
      </c>
      <c r="K69" s="15">
        <f>K8</f>
        <v>500</v>
      </c>
      <c r="L69" s="15">
        <f>L8</f>
        <v>500</v>
      </c>
      <c r="M69" s="15"/>
      <c r="N69" s="15"/>
      <c r="O69" s="15">
        <f>O8</f>
        <v>1819.96</v>
      </c>
      <c r="P69" s="15"/>
      <c r="Q69" s="15"/>
      <c r="R69" s="15"/>
      <c r="S69" s="15">
        <f>S8</f>
        <v>298.86</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KH</v>
      </c>
      <c r="I70" t="str">
        <f t="shared" si="5"/>
        <v>RED BRICK generic data for modelling with BoQ</v>
      </c>
      <c r="J70" s="14" t="str">
        <f>J3</f>
        <v>m³</v>
      </c>
      <c r="K70" s="15">
        <f>K3</f>
        <v>1800</v>
      </c>
      <c r="L70" s="15">
        <f>L3</f>
        <v>1800</v>
      </c>
      <c r="M70" s="15"/>
      <c r="N70" s="15"/>
      <c r="O70" s="15">
        <f>O3</f>
        <v>7548.58</v>
      </c>
      <c r="P70" s="15"/>
      <c r="Q70" s="15"/>
      <c r="R70" s="15"/>
      <c r="S70" s="15">
        <f>S3</f>
        <v>512.28</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KH</v>
      </c>
      <c r="I71" t="str">
        <f t="shared" si="5"/>
        <v>CONCRETE BRICK generic data for modelling with BoQ</v>
      </c>
      <c r="J71" s="14" t="str">
        <f>J15</f>
        <v>m³</v>
      </c>
      <c r="K71" s="15">
        <f>K15</f>
        <v>2000</v>
      </c>
      <c r="L71" s="15">
        <f>L15</f>
        <v>2000</v>
      </c>
      <c r="M71" s="15"/>
      <c r="N71" s="15"/>
      <c r="O71" s="15">
        <f>O15</f>
        <v>1551.65</v>
      </c>
      <c r="P71" s="15"/>
      <c r="Q71" s="15"/>
      <c r="R71" s="15"/>
      <c r="S71" s="15">
        <f>S15</f>
        <v>314.45</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KH</v>
      </c>
      <c r="I72" t="str">
        <f t="shared" si="5"/>
        <v>CONCRETE ROOF TILES generic data for modelling with BoQ</v>
      </c>
      <c r="J72" s="14" t="str">
        <f>J24</f>
        <v>m²</v>
      </c>
      <c r="K72" s="11">
        <f>K24</f>
        <v>42</v>
      </c>
      <c r="L72" s="11"/>
      <c r="M72" s="11">
        <f>M24</f>
        <v>42</v>
      </c>
      <c r="N72" s="15"/>
      <c r="O72" s="11">
        <f>O24</f>
        <v>132.99</v>
      </c>
      <c r="P72" s="15"/>
      <c r="Q72" s="15"/>
      <c r="R72" s="15"/>
      <c r="S72" s="11">
        <f>S24</f>
        <v>17.82</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
    <pageSetUpPr fitToPage="1"/>
  </sheetPr>
  <dimension ref="A1:V79"/>
  <sheetViews>
    <sheetView workbookViewId="0"/>
  </sheetViews>
  <sheetFormatPr defaultColWidth="11" defaultRowHeight="13.5"/>
  <cols>
    <col min="1" max="1" width="38.75" customWidth="1"/>
    <col min="2" max="2" width="13.125" bestFit="1" customWidth="1"/>
    <col min="3" max="3" width="11.625" bestFit="1" customWidth="1"/>
    <col min="4" max="4" width="13.125" bestFit="1" customWidth="1"/>
    <col min="5" max="5" width="11.625" bestFit="1" customWidth="1"/>
    <col min="6" max="6" width="13.125" bestFit="1" customWidth="1"/>
    <col min="7" max="7" width="36.75" customWidth="1"/>
    <col min="8" max="8" width="7.5" bestFit="1" customWidth="1"/>
    <col min="9" max="9" width="66.375" customWidth="1"/>
    <col min="10" max="10" width="4.625" customWidth="1"/>
    <col min="11" max="11" width="17.375" customWidth="1"/>
    <col min="12" max="12" width="24.875" customWidth="1"/>
    <col min="13" max="13" width="23.25" customWidth="1"/>
    <col min="14" max="14" width="23.125" bestFit="1" customWidth="1"/>
    <col min="15" max="15" width="15" bestFit="1" customWidth="1"/>
    <col min="16" max="17" width="13" customWidth="1"/>
    <col min="18" max="18" width="12.125" customWidth="1"/>
    <col min="19" max="19" width="18.125" bestFit="1" customWidth="1"/>
    <col min="20" max="20" width="16.625" bestFit="1" customWidth="1"/>
    <col min="21" max="21" width="16.125" bestFit="1" customWidth="1"/>
    <col min="22" max="22" width="15.625" bestFit="1" customWidth="1"/>
  </cols>
  <sheetData>
    <row r="1" spans="1:22" ht="14.1" customHeight="1">
      <c r="A1" s="3" t="s">
        <v>121</v>
      </c>
      <c r="B1" s="1" t="s">
        <v>122</v>
      </c>
      <c r="C1" s="1" t="s">
        <v>123</v>
      </c>
      <c r="D1" s="1" t="s">
        <v>124</v>
      </c>
      <c r="E1" s="1" t="s">
        <v>125</v>
      </c>
      <c r="F1" s="1" t="s">
        <v>126</v>
      </c>
      <c r="G1" s="1" t="s">
        <v>127</v>
      </c>
      <c r="H1" s="1" t="s">
        <v>128</v>
      </c>
      <c r="I1" s="1" t="s">
        <v>129</v>
      </c>
      <c r="J1" s="1" t="s">
        <v>130</v>
      </c>
      <c r="K1" s="1" t="s">
        <v>131</v>
      </c>
      <c r="L1" s="1" t="s">
        <v>132</v>
      </c>
      <c r="M1" s="1" t="s">
        <v>133</v>
      </c>
      <c r="N1" s="1" t="s">
        <v>134</v>
      </c>
      <c r="O1" s="1" t="s">
        <v>135</v>
      </c>
      <c r="P1" s="2" t="s">
        <v>136</v>
      </c>
      <c r="Q1" s="2" t="s">
        <v>137</v>
      </c>
      <c r="R1" s="2" t="s">
        <v>138</v>
      </c>
      <c r="S1" s="1" t="s">
        <v>139</v>
      </c>
      <c r="T1" s="2" t="s">
        <v>140</v>
      </c>
      <c r="U1" s="2" t="s">
        <v>141</v>
      </c>
      <c r="V1" s="2" t="s">
        <v>142</v>
      </c>
    </row>
    <row r="2" spans="1:22">
      <c r="A2" t="s">
        <v>143</v>
      </c>
      <c r="B2">
        <v>1</v>
      </c>
      <c r="C2" t="s">
        <v>144</v>
      </c>
      <c r="D2">
        <v>3</v>
      </c>
      <c r="E2" t="s">
        <v>145</v>
      </c>
      <c r="F2">
        <v>1</v>
      </c>
      <c r="G2" t="s">
        <v>146</v>
      </c>
      <c r="H2" s="14" t="s">
        <v>904</v>
      </c>
      <c r="I2" t="s">
        <v>148</v>
      </c>
      <c r="J2" s="11" t="s">
        <v>149</v>
      </c>
      <c r="K2" s="13">
        <f>L2</f>
        <v>2000</v>
      </c>
      <c r="L2" s="13">
        <v>2000</v>
      </c>
      <c r="M2" s="13"/>
      <c r="N2" s="13"/>
      <c r="O2" s="13">
        <v>2521.3000000000002</v>
      </c>
      <c r="P2" s="13">
        <v>0</v>
      </c>
      <c r="Q2" s="13">
        <v>0</v>
      </c>
      <c r="R2" s="13">
        <v>0</v>
      </c>
      <c r="S2" s="13">
        <v>357.06</v>
      </c>
      <c r="T2" s="13">
        <v>0</v>
      </c>
      <c r="U2" s="13">
        <v>0</v>
      </c>
      <c r="V2" s="13">
        <v>0</v>
      </c>
    </row>
    <row r="3" spans="1:22">
      <c r="A3" t="s">
        <v>150</v>
      </c>
      <c r="B3">
        <v>1</v>
      </c>
      <c r="C3" t="s">
        <v>144</v>
      </c>
      <c r="D3">
        <v>3</v>
      </c>
      <c r="E3" t="s">
        <v>145</v>
      </c>
      <c r="F3">
        <v>2</v>
      </c>
      <c r="G3" t="s">
        <v>151</v>
      </c>
      <c r="H3" s="14" t="s">
        <v>904</v>
      </c>
      <c r="I3" t="s">
        <v>152</v>
      </c>
      <c r="J3" s="11" t="s">
        <v>149</v>
      </c>
      <c r="K3" s="13">
        <f>L3</f>
        <v>1800</v>
      </c>
      <c r="L3" s="13">
        <v>1800</v>
      </c>
      <c r="M3" s="13"/>
      <c r="N3" s="13"/>
      <c r="O3" s="13">
        <v>8845.7199999999993</v>
      </c>
      <c r="P3" s="13">
        <v>0</v>
      </c>
      <c r="Q3" s="13">
        <v>0</v>
      </c>
      <c r="R3" s="13">
        <v>0</v>
      </c>
      <c r="S3" s="13">
        <v>600.30999999999995</v>
      </c>
      <c r="T3" s="13">
        <v>0</v>
      </c>
      <c r="U3" s="13">
        <v>0</v>
      </c>
      <c r="V3" s="13">
        <v>0</v>
      </c>
    </row>
    <row r="4" spans="1:22">
      <c r="A4" t="s">
        <v>153</v>
      </c>
      <c r="B4">
        <v>1</v>
      </c>
      <c r="C4" t="s">
        <v>144</v>
      </c>
      <c r="D4">
        <v>3</v>
      </c>
      <c r="E4" t="s">
        <v>145</v>
      </c>
      <c r="F4">
        <v>2</v>
      </c>
      <c r="G4" t="s">
        <v>151</v>
      </c>
      <c r="H4" s="14" t="s">
        <v>904</v>
      </c>
      <c r="I4" t="s">
        <v>154</v>
      </c>
      <c r="J4" s="11" t="s">
        <v>149</v>
      </c>
      <c r="K4" s="13">
        <f>L4</f>
        <v>2000</v>
      </c>
      <c r="L4" s="13">
        <v>2000</v>
      </c>
      <c r="M4" s="13"/>
      <c r="N4" s="13"/>
      <c r="O4" s="13">
        <v>9023.0499999999993</v>
      </c>
      <c r="P4" s="13">
        <v>0</v>
      </c>
      <c r="Q4" s="13">
        <v>0</v>
      </c>
      <c r="R4" s="13">
        <v>0</v>
      </c>
      <c r="S4" s="13">
        <v>602.69000000000005</v>
      </c>
      <c r="T4" s="13">
        <v>0</v>
      </c>
      <c r="U4" s="13">
        <v>0</v>
      </c>
      <c r="V4" s="13">
        <v>0</v>
      </c>
    </row>
    <row r="5" spans="1:22">
      <c r="A5" t="s">
        <v>155</v>
      </c>
      <c r="B5">
        <v>1</v>
      </c>
      <c r="C5" t="s">
        <v>144</v>
      </c>
      <c r="D5">
        <v>3</v>
      </c>
      <c r="E5" t="s">
        <v>145</v>
      </c>
      <c r="F5">
        <v>2</v>
      </c>
      <c r="G5" t="s">
        <v>151</v>
      </c>
      <c r="H5" s="14" t="s">
        <v>904</v>
      </c>
      <c r="I5" t="s">
        <v>156</v>
      </c>
      <c r="J5" s="11" t="s">
        <v>157</v>
      </c>
      <c r="K5" s="13">
        <f>M5</f>
        <v>159</v>
      </c>
      <c r="L5" s="13">
        <v>1700</v>
      </c>
      <c r="M5" s="13">
        <v>159</v>
      </c>
      <c r="N5" s="13"/>
      <c r="O5" s="13">
        <v>470.34</v>
      </c>
      <c r="P5" s="13">
        <v>0</v>
      </c>
      <c r="Q5" s="13">
        <v>0</v>
      </c>
      <c r="R5" s="13">
        <v>0</v>
      </c>
      <c r="S5" s="13">
        <v>29.9</v>
      </c>
      <c r="T5" s="13">
        <v>0</v>
      </c>
      <c r="U5" s="13">
        <v>0</v>
      </c>
      <c r="V5" s="13">
        <v>0</v>
      </c>
    </row>
    <row r="6" spans="1:22">
      <c r="A6" t="s">
        <v>158</v>
      </c>
      <c r="B6">
        <v>1</v>
      </c>
      <c r="C6" t="s">
        <v>144</v>
      </c>
      <c r="D6">
        <v>3</v>
      </c>
      <c r="E6" t="s">
        <v>145</v>
      </c>
      <c r="F6">
        <v>3</v>
      </c>
      <c r="G6" s="19" t="s">
        <v>159</v>
      </c>
      <c r="H6" s="14" t="s">
        <v>904</v>
      </c>
      <c r="I6" t="s">
        <v>160</v>
      </c>
      <c r="J6" s="11" t="s">
        <v>149</v>
      </c>
      <c r="K6" s="13">
        <f t="shared" ref="K6:K15" si="0">L6</f>
        <v>380</v>
      </c>
      <c r="L6" s="13">
        <v>380</v>
      </c>
      <c r="M6" s="13"/>
      <c r="N6" s="13"/>
      <c r="O6" s="13">
        <v>1380.86</v>
      </c>
      <c r="P6" s="13">
        <v>0</v>
      </c>
      <c r="Q6" s="13">
        <v>0</v>
      </c>
      <c r="R6" s="13">
        <v>0</v>
      </c>
      <c r="S6" s="13">
        <v>226</v>
      </c>
      <c r="T6" s="13">
        <v>0</v>
      </c>
      <c r="U6" s="13">
        <v>0</v>
      </c>
      <c r="V6" s="13">
        <v>0</v>
      </c>
    </row>
    <row r="7" spans="1:22">
      <c r="A7" t="s">
        <v>161</v>
      </c>
      <c r="B7">
        <v>1</v>
      </c>
      <c r="C7" t="s">
        <v>144</v>
      </c>
      <c r="D7">
        <v>3</v>
      </c>
      <c r="E7" t="s">
        <v>145</v>
      </c>
      <c r="F7">
        <v>3</v>
      </c>
      <c r="G7" s="19" t="s">
        <v>159</v>
      </c>
      <c r="H7" s="14" t="s">
        <v>904</v>
      </c>
      <c r="I7" t="s">
        <v>162</v>
      </c>
      <c r="J7" s="11" t="s">
        <v>149</v>
      </c>
      <c r="K7" s="13">
        <f t="shared" si="0"/>
        <v>472</v>
      </c>
      <c r="L7" s="13">
        <v>472</v>
      </c>
      <c r="M7" s="13"/>
      <c r="N7" s="13"/>
      <c r="O7" s="13">
        <v>2048.21</v>
      </c>
      <c r="P7" s="13">
        <v>0</v>
      </c>
      <c r="Q7" s="13">
        <v>0</v>
      </c>
      <c r="R7" s="13">
        <v>0</v>
      </c>
      <c r="S7" s="13">
        <v>311.55</v>
      </c>
      <c r="T7" s="13">
        <v>0</v>
      </c>
      <c r="U7" s="13">
        <v>0</v>
      </c>
      <c r="V7" s="13">
        <v>0</v>
      </c>
    </row>
    <row r="8" spans="1:22">
      <c r="A8" t="s">
        <v>163</v>
      </c>
      <c r="B8">
        <v>1</v>
      </c>
      <c r="C8" t="s">
        <v>144</v>
      </c>
      <c r="D8">
        <v>3</v>
      </c>
      <c r="E8" t="s">
        <v>145</v>
      </c>
      <c r="F8">
        <v>3</v>
      </c>
      <c r="G8" s="19" t="s">
        <v>159</v>
      </c>
      <c r="H8" s="14" t="s">
        <v>904</v>
      </c>
      <c r="I8" t="s">
        <v>164</v>
      </c>
      <c r="J8" s="11" t="s">
        <v>149</v>
      </c>
      <c r="K8" s="13">
        <f t="shared" si="0"/>
        <v>500</v>
      </c>
      <c r="L8" s="13">
        <v>500</v>
      </c>
      <c r="M8" s="13"/>
      <c r="N8" s="13"/>
      <c r="O8" s="13">
        <v>1673.12</v>
      </c>
      <c r="P8" s="13">
        <v>0</v>
      </c>
      <c r="Q8" s="13">
        <v>0</v>
      </c>
      <c r="R8" s="13">
        <v>0</v>
      </c>
      <c r="S8" s="13">
        <v>274.75</v>
      </c>
      <c r="T8" s="13">
        <v>0</v>
      </c>
      <c r="U8" s="13">
        <v>0</v>
      </c>
      <c r="V8" s="13">
        <v>0</v>
      </c>
    </row>
    <row r="9" spans="1:22">
      <c r="A9" t="s">
        <v>165</v>
      </c>
      <c r="B9">
        <v>1</v>
      </c>
      <c r="C9" t="s">
        <v>144</v>
      </c>
      <c r="D9">
        <v>3</v>
      </c>
      <c r="E9" t="s">
        <v>145</v>
      </c>
      <c r="F9">
        <v>4</v>
      </c>
      <c r="G9" s="19" t="s">
        <v>166</v>
      </c>
      <c r="H9" s="14" t="s">
        <v>904</v>
      </c>
      <c r="I9" t="s">
        <v>167</v>
      </c>
      <c r="J9" s="11" t="s">
        <v>149</v>
      </c>
      <c r="K9" s="13">
        <f t="shared" si="0"/>
        <v>500</v>
      </c>
      <c r="L9" s="13">
        <v>500</v>
      </c>
      <c r="M9" s="13"/>
      <c r="N9" s="13"/>
      <c r="O9" s="13">
        <v>367.32</v>
      </c>
      <c r="P9" s="13">
        <v>0</v>
      </c>
      <c r="Q9" s="13">
        <v>0</v>
      </c>
      <c r="R9" s="13">
        <v>0</v>
      </c>
      <c r="S9" s="13">
        <v>57.85</v>
      </c>
      <c r="T9" s="13">
        <v>0</v>
      </c>
      <c r="U9" s="13">
        <v>0</v>
      </c>
      <c r="V9" s="13">
        <v>0</v>
      </c>
    </row>
    <row r="10" spans="1:22" ht="14.1" customHeight="1">
      <c r="A10" t="s">
        <v>168</v>
      </c>
      <c r="B10">
        <v>1</v>
      </c>
      <c r="C10" t="s">
        <v>144</v>
      </c>
      <c r="D10">
        <v>3</v>
      </c>
      <c r="E10" t="s">
        <v>145</v>
      </c>
      <c r="F10">
        <v>4</v>
      </c>
      <c r="G10" s="19" t="s">
        <v>166</v>
      </c>
      <c r="H10" s="14" t="s">
        <v>904</v>
      </c>
      <c r="I10" s="12" t="s">
        <v>169</v>
      </c>
      <c r="J10" s="11" t="s">
        <v>149</v>
      </c>
      <c r="K10" s="13">
        <f t="shared" si="0"/>
        <v>900</v>
      </c>
      <c r="L10" s="13">
        <v>900</v>
      </c>
      <c r="M10" s="13"/>
      <c r="N10" s="13"/>
      <c r="O10" s="13">
        <v>623.34</v>
      </c>
      <c r="P10" s="13">
        <v>0</v>
      </c>
      <c r="Q10" s="13">
        <v>0</v>
      </c>
      <c r="R10" s="13">
        <v>0</v>
      </c>
      <c r="S10" s="13">
        <v>102.1</v>
      </c>
      <c r="T10" s="13">
        <v>0</v>
      </c>
      <c r="U10" s="13">
        <v>0</v>
      </c>
      <c r="V10" s="13">
        <v>0</v>
      </c>
    </row>
    <row r="11" spans="1:22" ht="14.1" customHeight="1">
      <c r="A11" t="s">
        <v>170</v>
      </c>
      <c r="B11">
        <v>1</v>
      </c>
      <c r="C11" t="s">
        <v>144</v>
      </c>
      <c r="D11">
        <v>3</v>
      </c>
      <c r="E11" t="s">
        <v>145</v>
      </c>
      <c r="F11">
        <v>4</v>
      </c>
      <c r="G11" s="19" t="s">
        <v>166</v>
      </c>
      <c r="H11" s="14" t="s">
        <v>904</v>
      </c>
      <c r="I11" s="12" t="s">
        <v>171</v>
      </c>
      <c r="J11" s="11" t="s">
        <v>149</v>
      </c>
      <c r="K11" s="13">
        <f t="shared" si="0"/>
        <v>1601</v>
      </c>
      <c r="L11" s="13">
        <v>1601</v>
      </c>
      <c r="M11" s="13"/>
      <c r="N11" s="13"/>
      <c r="O11" s="13">
        <v>5006.5200000000004</v>
      </c>
      <c r="P11" s="13">
        <v>0</v>
      </c>
      <c r="Q11" s="13">
        <v>0</v>
      </c>
      <c r="R11" s="13">
        <v>0</v>
      </c>
      <c r="S11" s="13">
        <v>528.57000000000005</v>
      </c>
      <c r="T11" s="13">
        <v>0</v>
      </c>
      <c r="U11" s="13">
        <v>0</v>
      </c>
      <c r="V11" s="13">
        <v>0</v>
      </c>
    </row>
    <row r="12" spans="1:22" ht="14.1" customHeight="1">
      <c r="A12" t="s">
        <v>172</v>
      </c>
      <c r="B12">
        <v>1</v>
      </c>
      <c r="C12" t="s">
        <v>144</v>
      </c>
      <c r="D12">
        <v>3</v>
      </c>
      <c r="E12" t="s">
        <v>145</v>
      </c>
      <c r="F12">
        <v>4</v>
      </c>
      <c r="G12" s="19" t="s">
        <v>166</v>
      </c>
      <c r="H12" s="14" t="s">
        <v>904</v>
      </c>
      <c r="I12" s="12" t="s">
        <v>173</v>
      </c>
      <c r="J12" s="11" t="s">
        <v>149</v>
      </c>
      <c r="K12" s="13">
        <f t="shared" si="0"/>
        <v>501</v>
      </c>
      <c r="L12" s="13">
        <v>501</v>
      </c>
      <c r="M12" s="13"/>
      <c r="N12" s="13"/>
      <c r="O12" s="13">
        <v>2149.59</v>
      </c>
      <c r="P12" s="13">
        <v>0</v>
      </c>
      <c r="Q12" s="13">
        <v>0</v>
      </c>
      <c r="R12" s="13">
        <v>0</v>
      </c>
      <c r="S12" s="13">
        <v>239.75</v>
      </c>
      <c r="T12" s="13">
        <v>0</v>
      </c>
      <c r="U12" s="13">
        <v>0</v>
      </c>
      <c r="V12" s="13">
        <v>0</v>
      </c>
    </row>
    <row r="13" spans="1:22" ht="14.1" customHeight="1">
      <c r="A13" t="s">
        <v>174</v>
      </c>
      <c r="B13">
        <v>1</v>
      </c>
      <c r="C13" t="s">
        <v>144</v>
      </c>
      <c r="D13">
        <v>3</v>
      </c>
      <c r="E13" t="s">
        <v>145</v>
      </c>
      <c r="F13">
        <v>4</v>
      </c>
      <c r="G13" s="19" t="s">
        <v>166</v>
      </c>
      <c r="H13" s="14" t="s">
        <v>904</v>
      </c>
      <c r="I13" s="12" t="s">
        <v>175</v>
      </c>
      <c r="J13" s="11" t="s">
        <v>149</v>
      </c>
      <c r="K13" s="13">
        <f t="shared" si="0"/>
        <v>701</v>
      </c>
      <c r="L13" s="13">
        <v>701</v>
      </c>
      <c r="M13" s="13"/>
      <c r="N13" s="13"/>
      <c r="O13" s="13">
        <v>2646.61</v>
      </c>
      <c r="P13" s="13">
        <v>0</v>
      </c>
      <c r="Q13" s="13">
        <v>0</v>
      </c>
      <c r="R13" s="13">
        <v>0</v>
      </c>
      <c r="S13" s="13">
        <v>294.45999999999998</v>
      </c>
      <c r="T13" s="13">
        <v>0</v>
      </c>
      <c r="U13" s="13">
        <v>0</v>
      </c>
      <c r="V13" s="13">
        <v>0</v>
      </c>
    </row>
    <row r="14" spans="1:22" ht="14.1" customHeight="1">
      <c r="A14" t="s">
        <v>176</v>
      </c>
      <c r="B14">
        <v>1</v>
      </c>
      <c r="C14" t="s">
        <v>144</v>
      </c>
      <c r="D14">
        <v>3</v>
      </c>
      <c r="E14" t="s">
        <v>145</v>
      </c>
      <c r="F14">
        <v>4</v>
      </c>
      <c r="G14" s="19" t="s">
        <v>166</v>
      </c>
      <c r="H14" s="14" t="s">
        <v>904</v>
      </c>
      <c r="I14" s="12" t="s">
        <v>177</v>
      </c>
      <c r="J14" s="11" t="s">
        <v>149</v>
      </c>
      <c r="K14" s="13">
        <f t="shared" si="0"/>
        <v>1400</v>
      </c>
      <c r="L14" s="13">
        <v>1400</v>
      </c>
      <c r="M14" s="13"/>
      <c r="N14" s="13"/>
      <c r="O14" s="13">
        <v>2447.5500000000002</v>
      </c>
      <c r="P14" s="13">
        <v>0</v>
      </c>
      <c r="Q14" s="13">
        <v>0</v>
      </c>
      <c r="R14" s="13">
        <v>0</v>
      </c>
      <c r="S14" s="13">
        <v>446.94</v>
      </c>
      <c r="T14" s="13">
        <v>0</v>
      </c>
      <c r="U14" s="13">
        <v>0</v>
      </c>
      <c r="V14" s="13">
        <v>0</v>
      </c>
    </row>
    <row r="15" spans="1:22">
      <c r="A15" t="s">
        <v>178</v>
      </c>
      <c r="B15">
        <v>1</v>
      </c>
      <c r="C15" t="s">
        <v>144</v>
      </c>
      <c r="D15">
        <v>3</v>
      </c>
      <c r="E15" t="s">
        <v>145</v>
      </c>
      <c r="F15">
        <v>5</v>
      </c>
      <c r="G15" s="19" t="s">
        <v>179</v>
      </c>
      <c r="H15" s="14" t="s">
        <v>904</v>
      </c>
      <c r="I15" t="s">
        <v>180</v>
      </c>
      <c r="J15" s="11" t="s">
        <v>149</v>
      </c>
      <c r="K15" s="13">
        <f t="shared" si="0"/>
        <v>2000</v>
      </c>
      <c r="L15" s="13">
        <v>2000</v>
      </c>
      <c r="M15" s="13"/>
      <c r="N15" s="13"/>
      <c r="O15" s="13">
        <v>1414.7</v>
      </c>
      <c r="P15" s="13">
        <v>0</v>
      </c>
      <c r="Q15" s="13">
        <v>0</v>
      </c>
      <c r="R15" s="13">
        <v>0</v>
      </c>
      <c r="S15" s="13">
        <v>286.7</v>
      </c>
      <c r="T15" s="13">
        <v>0</v>
      </c>
      <c r="U15" s="13">
        <v>0</v>
      </c>
      <c r="V15" s="13">
        <v>0</v>
      </c>
    </row>
    <row r="16" spans="1:22">
      <c r="A16" t="s">
        <v>181</v>
      </c>
      <c r="B16">
        <v>1</v>
      </c>
      <c r="C16" t="s">
        <v>144</v>
      </c>
      <c r="D16">
        <v>3</v>
      </c>
      <c r="E16" t="s">
        <v>145</v>
      </c>
      <c r="F16">
        <v>5</v>
      </c>
      <c r="G16" s="19" t="s">
        <v>179</v>
      </c>
      <c r="H16" s="14" t="s">
        <v>904</v>
      </c>
      <c r="I16" t="s">
        <v>182</v>
      </c>
      <c r="J16" s="11" t="s">
        <v>157</v>
      </c>
      <c r="K16" s="13">
        <f t="shared" ref="K16:K24" si="1">M16</f>
        <v>504</v>
      </c>
      <c r="L16" s="13">
        <f>M16*5</f>
        <v>2520</v>
      </c>
      <c r="M16" s="13">
        <v>504</v>
      </c>
      <c r="N16" s="13"/>
      <c r="O16" s="13">
        <v>618.84</v>
      </c>
      <c r="P16" s="13">
        <v>0</v>
      </c>
      <c r="Q16" s="13">
        <v>0</v>
      </c>
      <c r="R16" s="13">
        <v>0</v>
      </c>
      <c r="S16" s="13">
        <v>106.5</v>
      </c>
      <c r="T16" s="13">
        <v>0</v>
      </c>
      <c r="U16" s="13">
        <v>0</v>
      </c>
      <c r="V16" s="13">
        <v>0</v>
      </c>
    </row>
    <row r="17" spans="1:22">
      <c r="A17" t="s">
        <v>183</v>
      </c>
      <c r="B17">
        <v>1</v>
      </c>
      <c r="C17" t="s">
        <v>144</v>
      </c>
      <c r="D17">
        <v>3</v>
      </c>
      <c r="E17" t="s">
        <v>145</v>
      </c>
      <c r="F17">
        <v>5</v>
      </c>
      <c r="G17" s="19" t="s">
        <v>179</v>
      </c>
      <c r="H17" s="14" t="s">
        <v>904</v>
      </c>
      <c r="I17" t="s">
        <v>184</v>
      </c>
      <c r="J17" s="11" t="s">
        <v>157</v>
      </c>
      <c r="K17" s="13">
        <f t="shared" si="1"/>
        <v>291.3</v>
      </c>
      <c r="L17" s="13">
        <f>M17/12*100</f>
        <v>2427.5</v>
      </c>
      <c r="M17" s="13">
        <v>291.3</v>
      </c>
      <c r="N17" s="13"/>
      <c r="O17" s="13">
        <v>238.75</v>
      </c>
      <c r="P17" s="13">
        <v>0</v>
      </c>
      <c r="Q17" s="13">
        <v>0</v>
      </c>
      <c r="R17" s="13">
        <v>0</v>
      </c>
      <c r="S17" s="13">
        <v>45.77</v>
      </c>
      <c r="T17" s="13">
        <v>0</v>
      </c>
      <c r="U17" s="13">
        <v>0</v>
      </c>
      <c r="V17" s="13">
        <v>0</v>
      </c>
    </row>
    <row r="18" spans="1:22" ht="14.1" customHeight="1">
      <c r="A18" t="s">
        <v>185</v>
      </c>
      <c r="B18">
        <v>1</v>
      </c>
      <c r="C18" t="s">
        <v>144</v>
      </c>
      <c r="D18">
        <v>3</v>
      </c>
      <c r="E18" t="s">
        <v>145</v>
      </c>
      <c r="F18">
        <v>8</v>
      </c>
      <c r="G18" t="s">
        <v>186</v>
      </c>
      <c r="H18" s="14" t="s">
        <v>904</v>
      </c>
      <c r="I18" s="12" t="s">
        <v>187</v>
      </c>
      <c r="J18" s="11" t="s">
        <v>157</v>
      </c>
      <c r="K18" s="13">
        <f t="shared" si="1"/>
        <v>52</v>
      </c>
      <c r="L18" s="13"/>
      <c r="M18" s="13">
        <v>52</v>
      </c>
      <c r="N18" s="13"/>
      <c r="O18" s="13">
        <v>231.87</v>
      </c>
      <c r="P18" s="13">
        <v>0</v>
      </c>
      <c r="Q18" s="13">
        <v>0</v>
      </c>
      <c r="R18" s="13">
        <v>0</v>
      </c>
      <c r="S18" s="13">
        <v>17.7</v>
      </c>
      <c r="T18" s="13">
        <v>0</v>
      </c>
      <c r="U18" s="13">
        <v>0</v>
      </c>
      <c r="V18" s="13">
        <v>0</v>
      </c>
    </row>
    <row r="19" spans="1:22" ht="14.1" customHeight="1">
      <c r="A19" t="s">
        <v>188</v>
      </c>
      <c r="B19">
        <v>1</v>
      </c>
      <c r="C19" t="s">
        <v>144</v>
      </c>
      <c r="D19">
        <v>3</v>
      </c>
      <c r="E19" t="s">
        <v>145</v>
      </c>
      <c r="F19">
        <v>8</v>
      </c>
      <c r="G19" t="s">
        <v>186</v>
      </c>
      <c r="H19" s="14" t="s">
        <v>904</v>
      </c>
      <c r="I19" s="12" t="s">
        <v>189</v>
      </c>
      <c r="J19" s="11" t="s">
        <v>157</v>
      </c>
      <c r="K19" s="13">
        <f t="shared" si="1"/>
        <v>78</v>
      </c>
      <c r="L19" s="13"/>
      <c r="M19" s="13">
        <v>78</v>
      </c>
      <c r="N19" s="13"/>
      <c r="O19" s="13">
        <v>459.62</v>
      </c>
      <c r="P19" s="13">
        <v>0</v>
      </c>
      <c r="Q19" s="13">
        <v>0</v>
      </c>
      <c r="R19" s="13">
        <v>0</v>
      </c>
      <c r="S19" s="13">
        <v>35.07</v>
      </c>
      <c r="T19" s="13">
        <v>0</v>
      </c>
      <c r="U19" s="13">
        <v>0</v>
      </c>
      <c r="V19" s="13">
        <v>0</v>
      </c>
    </row>
    <row r="20" spans="1:22" ht="14.1" customHeight="1">
      <c r="A20" t="s">
        <v>190</v>
      </c>
      <c r="B20">
        <v>1</v>
      </c>
      <c r="C20" t="s">
        <v>144</v>
      </c>
      <c r="D20">
        <v>3</v>
      </c>
      <c r="E20" t="s">
        <v>145</v>
      </c>
      <c r="F20">
        <v>8</v>
      </c>
      <c r="G20" t="s">
        <v>186</v>
      </c>
      <c r="H20" s="14" t="s">
        <v>904</v>
      </c>
      <c r="I20" s="12" t="s">
        <v>191</v>
      </c>
      <c r="J20" s="11" t="s">
        <v>157</v>
      </c>
      <c r="K20" s="13">
        <f t="shared" si="1"/>
        <v>52</v>
      </c>
      <c r="L20" s="13"/>
      <c r="M20" s="13">
        <v>52</v>
      </c>
      <c r="N20" s="13"/>
      <c r="O20" s="13">
        <v>448.8</v>
      </c>
      <c r="P20" s="13">
        <v>0</v>
      </c>
      <c r="Q20" s="13">
        <v>0</v>
      </c>
      <c r="R20" s="13">
        <v>0</v>
      </c>
      <c r="S20" s="13">
        <v>34.25</v>
      </c>
      <c r="T20" s="13">
        <v>0</v>
      </c>
      <c r="U20" s="13">
        <v>0</v>
      </c>
      <c r="V20" s="13">
        <v>0</v>
      </c>
    </row>
    <row r="21" spans="1:22" ht="14.1" customHeight="1">
      <c r="A21" t="s">
        <v>192</v>
      </c>
      <c r="B21">
        <v>1</v>
      </c>
      <c r="C21" t="s">
        <v>144</v>
      </c>
      <c r="D21">
        <v>3</v>
      </c>
      <c r="E21" t="s">
        <v>145</v>
      </c>
      <c r="F21">
        <v>8</v>
      </c>
      <c r="G21" t="s">
        <v>186</v>
      </c>
      <c r="H21" s="14" t="s">
        <v>904</v>
      </c>
      <c r="I21" s="12" t="s">
        <v>193</v>
      </c>
      <c r="J21" s="11" t="s">
        <v>157</v>
      </c>
      <c r="K21" s="13">
        <f t="shared" si="1"/>
        <v>104</v>
      </c>
      <c r="L21" s="13"/>
      <c r="M21" s="13">
        <v>104</v>
      </c>
      <c r="N21" s="13"/>
      <c r="O21" s="13">
        <v>234.22</v>
      </c>
      <c r="P21" s="13">
        <v>0</v>
      </c>
      <c r="Q21" s="13">
        <v>0</v>
      </c>
      <c r="R21" s="13">
        <v>0</v>
      </c>
      <c r="S21" s="13">
        <v>17.86</v>
      </c>
      <c r="T21" s="13">
        <v>0</v>
      </c>
      <c r="U21" s="13">
        <v>0</v>
      </c>
      <c r="V21" s="13">
        <v>0</v>
      </c>
    </row>
    <row r="22" spans="1:22" ht="14.1" customHeight="1">
      <c r="A22" t="s">
        <v>194</v>
      </c>
      <c r="B22">
        <v>1</v>
      </c>
      <c r="C22" t="s">
        <v>144</v>
      </c>
      <c r="D22">
        <v>3</v>
      </c>
      <c r="E22" t="s">
        <v>145</v>
      </c>
      <c r="F22">
        <v>8</v>
      </c>
      <c r="G22" t="s">
        <v>186</v>
      </c>
      <c r="H22" s="14" t="s">
        <v>904</v>
      </c>
      <c r="I22" s="12" t="s">
        <v>195</v>
      </c>
      <c r="J22" s="11" t="s">
        <v>157</v>
      </c>
      <c r="K22" s="13">
        <f t="shared" si="1"/>
        <v>52</v>
      </c>
      <c r="L22" s="13"/>
      <c r="M22" s="13">
        <v>52</v>
      </c>
      <c r="N22" s="13"/>
      <c r="O22" s="13">
        <v>212.58</v>
      </c>
      <c r="P22" s="13">
        <v>0</v>
      </c>
      <c r="Q22" s="13">
        <v>0</v>
      </c>
      <c r="R22" s="13">
        <v>0</v>
      </c>
      <c r="S22" s="13">
        <v>16.23</v>
      </c>
      <c r="T22" s="13">
        <v>0</v>
      </c>
      <c r="U22" s="13">
        <v>0</v>
      </c>
      <c r="V22" s="13">
        <v>0</v>
      </c>
    </row>
    <row r="23" spans="1:22">
      <c r="A23" t="s">
        <v>196</v>
      </c>
      <c r="B23">
        <v>1</v>
      </c>
      <c r="C23" t="s">
        <v>144</v>
      </c>
      <c r="D23">
        <v>3</v>
      </c>
      <c r="E23" t="s">
        <v>145</v>
      </c>
      <c r="F23">
        <v>10</v>
      </c>
      <c r="G23" t="s">
        <v>197</v>
      </c>
      <c r="H23" s="14" t="s">
        <v>904</v>
      </c>
      <c r="I23" t="s">
        <v>198</v>
      </c>
      <c r="J23" s="11" t="s">
        <v>157</v>
      </c>
      <c r="K23" s="13">
        <f t="shared" si="1"/>
        <v>45</v>
      </c>
      <c r="L23" s="13"/>
      <c r="M23" s="13">
        <v>45</v>
      </c>
      <c r="N23" s="13"/>
      <c r="O23" s="13">
        <v>268.69</v>
      </c>
      <c r="P23" s="13">
        <v>0</v>
      </c>
      <c r="Q23" s="13">
        <v>0</v>
      </c>
      <c r="R23" s="13">
        <v>0</v>
      </c>
      <c r="S23" s="13">
        <v>17.940000000000001</v>
      </c>
      <c r="T23" s="13">
        <v>0</v>
      </c>
      <c r="U23" s="13">
        <v>0</v>
      </c>
      <c r="V23" s="13">
        <v>0</v>
      </c>
    </row>
    <row r="24" spans="1:22">
      <c r="A24" t="s">
        <v>199</v>
      </c>
      <c r="B24">
        <v>1</v>
      </c>
      <c r="C24" t="s">
        <v>144</v>
      </c>
      <c r="D24">
        <v>3</v>
      </c>
      <c r="E24" t="s">
        <v>145</v>
      </c>
      <c r="F24">
        <v>11</v>
      </c>
      <c r="G24" s="19" t="s">
        <v>200</v>
      </c>
      <c r="H24" s="14" t="s">
        <v>904</v>
      </c>
      <c r="I24" t="s">
        <v>201</v>
      </c>
      <c r="J24" s="11" t="s">
        <v>157</v>
      </c>
      <c r="K24" s="13">
        <f t="shared" si="1"/>
        <v>42</v>
      </c>
      <c r="L24" s="13"/>
      <c r="M24" s="13">
        <v>42</v>
      </c>
      <c r="N24" s="13"/>
      <c r="O24" s="13">
        <v>121.25</v>
      </c>
      <c r="P24" s="13">
        <v>0</v>
      </c>
      <c r="Q24" s="13">
        <v>0</v>
      </c>
      <c r="R24" s="13">
        <v>0</v>
      </c>
      <c r="S24" s="13">
        <v>16.25</v>
      </c>
      <c r="T24" s="13">
        <v>0</v>
      </c>
      <c r="U24" s="13">
        <v>0</v>
      </c>
      <c r="V24" s="13">
        <v>0</v>
      </c>
    </row>
    <row r="25" spans="1:22" ht="14.1" customHeight="1">
      <c r="A25" t="s">
        <v>202</v>
      </c>
      <c r="B25">
        <v>1</v>
      </c>
      <c r="C25" t="s">
        <v>144</v>
      </c>
      <c r="D25">
        <v>3</v>
      </c>
      <c r="E25" t="s">
        <v>145</v>
      </c>
      <c r="F25">
        <v>12</v>
      </c>
      <c r="G25" s="19" t="s">
        <v>203</v>
      </c>
      <c r="H25" s="14" t="s">
        <v>904</v>
      </c>
      <c r="I25" s="12" t="s">
        <v>204</v>
      </c>
      <c r="J25" s="11" t="s">
        <v>157</v>
      </c>
      <c r="K25" s="13"/>
      <c r="L25" s="13">
        <v>1300</v>
      </c>
      <c r="M25" s="13"/>
      <c r="N25" s="13"/>
      <c r="O25" s="13">
        <v>96.8</v>
      </c>
      <c r="P25" s="13">
        <v>0</v>
      </c>
      <c r="Q25" s="13">
        <v>0</v>
      </c>
      <c r="R25" s="13">
        <v>0</v>
      </c>
      <c r="S25" s="13">
        <v>9.16</v>
      </c>
      <c r="T25" s="13">
        <v>0</v>
      </c>
      <c r="U25" s="13">
        <v>0</v>
      </c>
      <c r="V25" s="13">
        <v>0</v>
      </c>
    </row>
    <row r="26" spans="1:22" ht="14.1" customHeight="1">
      <c r="A26" t="s">
        <v>205</v>
      </c>
      <c r="B26">
        <v>1</v>
      </c>
      <c r="C26" t="s">
        <v>144</v>
      </c>
      <c r="D26">
        <v>3</v>
      </c>
      <c r="E26" t="s">
        <v>145</v>
      </c>
      <c r="F26">
        <v>13</v>
      </c>
      <c r="G26" t="s">
        <v>206</v>
      </c>
      <c r="H26" s="14" t="s">
        <v>904</v>
      </c>
      <c r="I26" s="12" t="s">
        <v>207</v>
      </c>
      <c r="J26" s="11" t="s">
        <v>157</v>
      </c>
      <c r="K26" s="13">
        <v>10</v>
      </c>
      <c r="L26" s="13"/>
      <c r="M26" s="13">
        <v>10</v>
      </c>
      <c r="N26" s="13"/>
      <c r="O26" s="13">
        <v>38.58</v>
      </c>
      <c r="P26" s="13">
        <v>0</v>
      </c>
      <c r="Q26" s="13">
        <v>0</v>
      </c>
      <c r="R26" s="13">
        <v>0</v>
      </c>
      <c r="S26" s="13">
        <v>1.96</v>
      </c>
      <c r="T26" s="13">
        <v>0</v>
      </c>
      <c r="U26" s="13">
        <v>0</v>
      </c>
      <c r="V26" s="13">
        <v>0</v>
      </c>
    </row>
    <row r="27" spans="1:22" ht="14.1" customHeight="1">
      <c r="A27" t="s">
        <v>208</v>
      </c>
      <c r="B27">
        <v>1</v>
      </c>
      <c r="C27" t="s">
        <v>144</v>
      </c>
      <c r="D27">
        <v>3</v>
      </c>
      <c r="E27" t="s">
        <v>145</v>
      </c>
      <c r="F27">
        <v>13</v>
      </c>
      <c r="G27" t="s">
        <v>206</v>
      </c>
      <c r="H27" s="14" t="s">
        <v>904</v>
      </c>
      <c r="I27" s="12" t="s">
        <v>209</v>
      </c>
      <c r="J27" s="11" t="s">
        <v>157</v>
      </c>
      <c r="K27" s="13">
        <v>10</v>
      </c>
      <c r="L27" s="13"/>
      <c r="M27" s="13">
        <v>10</v>
      </c>
      <c r="N27" s="13"/>
      <c r="O27" s="13">
        <v>40.36</v>
      </c>
      <c r="P27" s="13">
        <v>0</v>
      </c>
      <c r="Q27" s="13">
        <v>0</v>
      </c>
      <c r="R27" s="13">
        <v>0</v>
      </c>
      <c r="S27" s="13">
        <v>2.08</v>
      </c>
      <c r="T27" s="13">
        <v>0</v>
      </c>
      <c r="U27" s="13">
        <v>0</v>
      </c>
      <c r="V27" s="13">
        <v>0</v>
      </c>
    </row>
    <row r="28" spans="1:22" ht="14.1" customHeight="1">
      <c r="A28" t="s">
        <v>210</v>
      </c>
      <c r="B28">
        <v>1</v>
      </c>
      <c r="C28" t="s">
        <v>144</v>
      </c>
      <c r="D28">
        <v>3</v>
      </c>
      <c r="E28" t="s">
        <v>145</v>
      </c>
      <c r="F28">
        <v>13</v>
      </c>
      <c r="G28" t="s">
        <v>206</v>
      </c>
      <c r="H28" s="14" t="s">
        <v>904</v>
      </c>
      <c r="I28" s="12" t="s">
        <v>211</v>
      </c>
      <c r="J28" s="11" t="s">
        <v>157</v>
      </c>
      <c r="K28" s="13">
        <v>10</v>
      </c>
      <c r="L28" s="13"/>
      <c r="M28" s="13">
        <v>10</v>
      </c>
      <c r="N28" s="13"/>
      <c r="O28" s="13">
        <v>55.47</v>
      </c>
      <c r="P28" s="13">
        <v>0</v>
      </c>
      <c r="Q28" s="13">
        <v>0</v>
      </c>
      <c r="R28" s="13">
        <v>0</v>
      </c>
      <c r="S28" s="13">
        <v>3.73</v>
      </c>
      <c r="T28" s="13">
        <v>0</v>
      </c>
      <c r="U28" s="13">
        <v>0</v>
      </c>
      <c r="V28" s="13">
        <v>0</v>
      </c>
    </row>
    <row r="29" spans="1:22" ht="14.1" customHeight="1">
      <c r="A29" t="s">
        <v>212</v>
      </c>
      <c r="B29">
        <v>1</v>
      </c>
      <c r="C29" t="s">
        <v>144</v>
      </c>
      <c r="D29">
        <v>3</v>
      </c>
      <c r="E29" t="s">
        <v>145</v>
      </c>
      <c r="F29">
        <v>17</v>
      </c>
      <c r="G29" t="s">
        <v>213</v>
      </c>
      <c r="H29" s="14" t="s">
        <v>904</v>
      </c>
      <c r="I29" s="12" t="s">
        <v>214</v>
      </c>
      <c r="J29" s="11" t="s">
        <v>149</v>
      </c>
      <c r="K29" s="13">
        <f t="shared" ref="K29:K35" si="2">L29</f>
        <v>1200</v>
      </c>
      <c r="L29" s="13">
        <v>1200</v>
      </c>
      <c r="M29" s="13"/>
      <c r="N29" s="13"/>
      <c r="O29" s="13">
        <v>129.09</v>
      </c>
      <c r="P29" s="13">
        <v>0</v>
      </c>
      <c r="Q29" s="13">
        <v>0</v>
      </c>
      <c r="R29" s="13">
        <v>0</v>
      </c>
      <c r="S29" s="13">
        <v>112.87</v>
      </c>
      <c r="T29" s="13">
        <v>0</v>
      </c>
      <c r="U29" s="13">
        <v>0</v>
      </c>
      <c r="V29" s="13">
        <v>0</v>
      </c>
    </row>
    <row r="30" spans="1:22" ht="14.1" customHeight="1">
      <c r="A30" t="s">
        <v>215</v>
      </c>
      <c r="B30">
        <v>1</v>
      </c>
      <c r="C30" t="s">
        <v>144</v>
      </c>
      <c r="D30">
        <v>3</v>
      </c>
      <c r="E30" t="s">
        <v>145</v>
      </c>
      <c r="F30">
        <v>17</v>
      </c>
      <c r="G30" t="s">
        <v>213</v>
      </c>
      <c r="H30" s="14" t="s">
        <v>904</v>
      </c>
      <c r="I30" s="12" t="s">
        <v>216</v>
      </c>
      <c r="J30" s="11" t="s">
        <v>149</v>
      </c>
      <c r="K30" s="13">
        <f t="shared" si="2"/>
        <v>2000</v>
      </c>
      <c r="L30" s="13">
        <v>2000</v>
      </c>
      <c r="M30" s="13"/>
      <c r="N30" s="13"/>
      <c r="O30" s="13">
        <v>143.24</v>
      </c>
      <c r="P30" s="13">
        <v>0</v>
      </c>
      <c r="Q30" s="13">
        <v>0</v>
      </c>
      <c r="R30" s="13">
        <v>0</v>
      </c>
      <c r="S30" s="13">
        <v>11.46</v>
      </c>
      <c r="T30" s="13">
        <v>0</v>
      </c>
      <c r="U30" s="13">
        <v>0</v>
      </c>
      <c r="V30" s="13">
        <v>0</v>
      </c>
    </row>
    <row r="31" spans="1:22">
      <c r="A31" t="s">
        <v>217</v>
      </c>
      <c r="B31">
        <v>1</v>
      </c>
      <c r="C31" t="s">
        <v>144</v>
      </c>
      <c r="D31">
        <v>4</v>
      </c>
      <c r="E31" t="s">
        <v>218</v>
      </c>
      <c r="F31">
        <v>1</v>
      </c>
      <c r="G31" s="19" t="s">
        <v>219</v>
      </c>
      <c r="H31" s="14" t="s">
        <v>904</v>
      </c>
      <c r="I31" t="s">
        <v>220</v>
      </c>
      <c r="J31" s="11" t="s">
        <v>149</v>
      </c>
      <c r="K31" s="13">
        <f t="shared" si="2"/>
        <v>2297</v>
      </c>
      <c r="L31" s="13">
        <v>2297</v>
      </c>
      <c r="M31" s="13"/>
      <c r="N31" s="13"/>
      <c r="O31" s="13">
        <v>876.24</v>
      </c>
      <c r="P31" s="13">
        <v>0</v>
      </c>
      <c r="Q31" s="13">
        <v>0</v>
      </c>
      <c r="R31" s="13">
        <v>0</v>
      </c>
      <c r="S31" s="13">
        <v>250.51</v>
      </c>
      <c r="T31" s="13">
        <v>0</v>
      </c>
      <c r="U31" s="13">
        <v>0</v>
      </c>
      <c r="V31" s="13">
        <v>0</v>
      </c>
    </row>
    <row r="32" spans="1:22" ht="14.1" customHeight="1">
      <c r="A32" t="s">
        <v>221</v>
      </c>
      <c r="B32">
        <v>1</v>
      </c>
      <c r="C32" t="s">
        <v>144</v>
      </c>
      <c r="D32">
        <v>4</v>
      </c>
      <c r="E32" t="s">
        <v>218</v>
      </c>
      <c r="F32">
        <v>1</v>
      </c>
      <c r="G32" s="19" t="s">
        <v>219</v>
      </c>
      <c r="H32" s="14" t="s">
        <v>904</v>
      </c>
      <c r="I32" s="12" t="s">
        <v>222</v>
      </c>
      <c r="J32" s="11" t="s">
        <v>149</v>
      </c>
      <c r="K32" s="13">
        <f t="shared" si="2"/>
        <v>2300</v>
      </c>
      <c r="L32" s="13">
        <v>2300</v>
      </c>
      <c r="M32" s="13"/>
      <c r="N32" s="13"/>
      <c r="O32" s="13">
        <v>957.36</v>
      </c>
      <c r="P32" s="13">
        <v>0</v>
      </c>
      <c r="Q32" s="13">
        <v>0</v>
      </c>
      <c r="R32" s="13">
        <v>0</v>
      </c>
      <c r="S32" s="13">
        <v>277.56</v>
      </c>
      <c r="T32" s="13">
        <v>0</v>
      </c>
      <c r="U32" s="13">
        <v>0</v>
      </c>
      <c r="V32" s="13">
        <v>0</v>
      </c>
    </row>
    <row r="33" spans="1:22">
      <c r="A33" t="s">
        <v>223</v>
      </c>
      <c r="B33">
        <v>1</v>
      </c>
      <c r="C33" t="s">
        <v>144</v>
      </c>
      <c r="D33">
        <v>4</v>
      </c>
      <c r="E33" t="s">
        <v>218</v>
      </c>
      <c r="F33">
        <v>1</v>
      </c>
      <c r="G33" s="19" t="s">
        <v>219</v>
      </c>
      <c r="H33" s="14" t="s">
        <v>904</v>
      </c>
      <c r="I33" t="s">
        <v>224</v>
      </c>
      <c r="J33" s="11" t="s">
        <v>149</v>
      </c>
      <c r="K33" s="13">
        <f t="shared" si="2"/>
        <v>2306</v>
      </c>
      <c r="L33" s="13">
        <v>2306</v>
      </c>
      <c r="M33" s="13"/>
      <c r="N33" s="13"/>
      <c r="O33" s="13">
        <v>1093.32</v>
      </c>
      <c r="P33" s="13">
        <v>0</v>
      </c>
      <c r="Q33" s="13">
        <v>0</v>
      </c>
      <c r="R33" s="13">
        <v>0</v>
      </c>
      <c r="S33" s="13">
        <v>322.63</v>
      </c>
      <c r="T33" s="13">
        <v>0</v>
      </c>
      <c r="U33" s="13">
        <v>0</v>
      </c>
      <c r="V33" s="13">
        <v>0</v>
      </c>
    </row>
    <row r="34" spans="1:22">
      <c r="A34" t="s">
        <v>225</v>
      </c>
      <c r="B34">
        <v>1</v>
      </c>
      <c r="C34" t="s">
        <v>144</v>
      </c>
      <c r="D34">
        <v>4</v>
      </c>
      <c r="E34" t="s">
        <v>218</v>
      </c>
      <c r="F34">
        <v>1</v>
      </c>
      <c r="G34" s="19" t="s">
        <v>219</v>
      </c>
      <c r="H34" s="14" t="s">
        <v>904</v>
      </c>
      <c r="I34" t="s">
        <v>226</v>
      </c>
      <c r="J34" s="11" t="s">
        <v>149</v>
      </c>
      <c r="K34" s="13">
        <f t="shared" si="2"/>
        <v>2316.6</v>
      </c>
      <c r="L34" s="13">
        <v>2316.6</v>
      </c>
      <c r="M34" s="13"/>
      <c r="N34" s="13"/>
      <c r="O34" s="13">
        <v>1347.09</v>
      </c>
      <c r="P34" s="13">
        <v>0</v>
      </c>
      <c r="Q34" s="13">
        <v>0</v>
      </c>
      <c r="R34" s="13">
        <v>0</v>
      </c>
      <c r="S34" s="13">
        <v>407.38</v>
      </c>
      <c r="T34" s="13">
        <v>0</v>
      </c>
      <c r="U34" s="13">
        <v>0</v>
      </c>
      <c r="V34" s="13">
        <v>0</v>
      </c>
    </row>
    <row r="35" spans="1:22" ht="14.1" customHeight="1">
      <c r="A35" t="s">
        <v>227</v>
      </c>
      <c r="B35">
        <v>1</v>
      </c>
      <c r="C35" t="s">
        <v>144</v>
      </c>
      <c r="D35">
        <v>4</v>
      </c>
      <c r="E35" t="s">
        <v>218</v>
      </c>
      <c r="F35">
        <v>2</v>
      </c>
      <c r="G35" s="19" t="s">
        <v>228</v>
      </c>
      <c r="H35" s="14" t="s">
        <v>904</v>
      </c>
      <c r="I35" s="12" t="s">
        <v>229</v>
      </c>
      <c r="J35" s="11" t="s">
        <v>149</v>
      </c>
      <c r="K35" s="13">
        <f t="shared" si="2"/>
        <v>2000</v>
      </c>
      <c r="L35" s="13">
        <v>2000</v>
      </c>
      <c r="M35" s="13"/>
      <c r="N35" s="13"/>
      <c r="O35" s="13">
        <v>1395.92</v>
      </c>
      <c r="P35" s="13">
        <v>0</v>
      </c>
      <c r="Q35" s="13">
        <v>0</v>
      </c>
      <c r="R35" s="13">
        <v>0</v>
      </c>
      <c r="S35" s="13">
        <v>393.99</v>
      </c>
      <c r="T35" s="13">
        <v>0</v>
      </c>
      <c r="U35" s="13">
        <v>0</v>
      </c>
      <c r="V35" s="13">
        <v>0</v>
      </c>
    </row>
    <row r="36" spans="1:22" ht="14.1" customHeight="1">
      <c r="A36" t="s">
        <v>230</v>
      </c>
      <c r="B36">
        <v>1</v>
      </c>
      <c r="C36" t="s">
        <v>144</v>
      </c>
      <c r="D36">
        <v>4</v>
      </c>
      <c r="E36" t="s">
        <v>218</v>
      </c>
      <c r="F36">
        <v>3</v>
      </c>
      <c r="G36" s="19" t="s">
        <v>231</v>
      </c>
      <c r="H36" s="14" t="s">
        <v>904</v>
      </c>
      <c r="I36" s="12" t="s">
        <v>232</v>
      </c>
      <c r="J36" s="11" t="s">
        <v>233</v>
      </c>
      <c r="K36" s="13">
        <v>1</v>
      </c>
      <c r="L36" s="13">
        <v>2400</v>
      </c>
      <c r="M36" s="13"/>
      <c r="N36" s="13"/>
      <c r="O36" s="13">
        <v>1.49</v>
      </c>
      <c r="P36" s="13">
        <v>0</v>
      </c>
      <c r="Q36" s="13">
        <v>0</v>
      </c>
      <c r="R36" s="13">
        <v>0</v>
      </c>
      <c r="S36" s="13">
        <v>0.23</v>
      </c>
      <c r="T36" s="13">
        <v>0</v>
      </c>
      <c r="U36" s="13">
        <v>0</v>
      </c>
      <c r="V36" s="13">
        <v>0</v>
      </c>
    </row>
    <row r="37" spans="1:22">
      <c r="A37" t="s">
        <v>234</v>
      </c>
      <c r="B37">
        <v>1</v>
      </c>
      <c r="C37" t="s">
        <v>144</v>
      </c>
      <c r="D37">
        <v>4</v>
      </c>
      <c r="E37" t="s">
        <v>218</v>
      </c>
      <c r="F37">
        <v>4</v>
      </c>
      <c r="G37" s="19" t="s">
        <v>235</v>
      </c>
      <c r="H37" s="14" t="s">
        <v>904</v>
      </c>
      <c r="I37" t="s">
        <v>236</v>
      </c>
      <c r="J37" s="11" t="s">
        <v>149</v>
      </c>
      <c r="K37" s="13">
        <f t="shared" ref="K37:K52" si="3">L37</f>
        <v>1800</v>
      </c>
      <c r="L37" s="13">
        <v>1800</v>
      </c>
      <c r="M37" s="13"/>
      <c r="N37" s="13"/>
      <c r="O37" s="13">
        <v>2666.01</v>
      </c>
      <c r="P37" s="13">
        <v>0</v>
      </c>
      <c r="Q37" s="13">
        <v>0</v>
      </c>
      <c r="R37" s="13">
        <v>0</v>
      </c>
      <c r="S37" s="13">
        <v>413.5</v>
      </c>
      <c r="T37" s="13">
        <v>0</v>
      </c>
      <c r="U37" s="13">
        <v>0</v>
      </c>
      <c r="V37" s="13">
        <v>0</v>
      </c>
    </row>
    <row r="38" spans="1:22">
      <c r="A38" t="s">
        <v>237</v>
      </c>
      <c r="B38">
        <v>1</v>
      </c>
      <c r="C38" t="s">
        <v>144</v>
      </c>
      <c r="D38">
        <v>4</v>
      </c>
      <c r="E38" t="s">
        <v>218</v>
      </c>
      <c r="F38">
        <v>4</v>
      </c>
      <c r="G38" s="19" t="s">
        <v>235</v>
      </c>
      <c r="H38" s="14" t="s">
        <v>904</v>
      </c>
      <c r="I38" t="s">
        <v>238</v>
      </c>
      <c r="J38" s="11" t="s">
        <v>149</v>
      </c>
      <c r="K38" s="13">
        <f t="shared" si="3"/>
        <v>900</v>
      </c>
      <c r="L38" s="13">
        <v>900</v>
      </c>
      <c r="M38" s="13"/>
      <c r="N38" s="13"/>
      <c r="O38" s="13">
        <v>2181.08</v>
      </c>
      <c r="P38" s="13">
        <v>0</v>
      </c>
      <c r="Q38" s="13">
        <v>0</v>
      </c>
      <c r="R38" s="13">
        <v>0</v>
      </c>
      <c r="S38" s="13">
        <v>232.77</v>
      </c>
      <c r="T38" s="13">
        <v>0</v>
      </c>
      <c r="U38" s="13">
        <v>0</v>
      </c>
      <c r="V38" s="13">
        <v>0</v>
      </c>
    </row>
    <row r="39" spans="1:22">
      <c r="A39" t="s">
        <v>239</v>
      </c>
      <c r="B39">
        <v>1</v>
      </c>
      <c r="C39" t="s">
        <v>144</v>
      </c>
      <c r="D39">
        <v>4</v>
      </c>
      <c r="E39" t="s">
        <v>218</v>
      </c>
      <c r="F39">
        <v>4</v>
      </c>
      <c r="G39" s="19" t="s">
        <v>235</v>
      </c>
      <c r="H39" s="14" t="s">
        <v>904</v>
      </c>
      <c r="I39" t="s">
        <v>240</v>
      </c>
      <c r="J39" s="11" t="s">
        <v>149</v>
      </c>
      <c r="K39" s="13">
        <f t="shared" si="3"/>
        <v>1700</v>
      </c>
      <c r="L39" s="13">
        <v>1700</v>
      </c>
      <c r="M39" s="13"/>
      <c r="N39" s="13"/>
      <c r="O39" s="13">
        <v>2698.16</v>
      </c>
      <c r="P39" s="15">
        <v>0</v>
      </c>
      <c r="Q39" s="13">
        <v>0</v>
      </c>
      <c r="R39" s="13">
        <v>0</v>
      </c>
      <c r="S39" s="13">
        <v>1302.24</v>
      </c>
      <c r="T39" s="13">
        <v>0</v>
      </c>
      <c r="U39" s="13">
        <v>0</v>
      </c>
      <c r="V39" s="13">
        <v>0</v>
      </c>
    </row>
    <row r="40" spans="1:22">
      <c r="A40" t="s">
        <v>241</v>
      </c>
      <c r="B40">
        <v>1</v>
      </c>
      <c r="C40" t="s">
        <v>144</v>
      </c>
      <c r="D40">
        <v>4</v>
      </c>
      <c r="E40" t="s">
        <v>218</v>
      </c>
      <c r="F40">
        <v>4</v>
      </c>
      <c r="G40" s="19" t="s">
        <v>235</v>
      </c>
      <c r="H40" s="14" t="s">
        <v>904</v>
      </c>
      <c r="I40" t="s">
        <v>242</v>
      </c>
      <c r="J40" s="11" t="s">
        <v>149</v>
      </c>
      <c r="K40" s="13">
        <f t="shared" si="3"/>
        <v>900</v>
      </c>
      <c r="L40" s="13">
        <v>900</v>
      </c>
      <c r="M40" s="13"/>
      <c r="N40" s="13"/>
      <c r="O40" s="13">
        <v>1073.9000000000001</v>
      </c>
      <c r="P40" s="13">
        <v>0</v>
      </c>
      <c r="Q40" s="13">
        <v>0</v>
      </c>
      <c r="R40" s="13">
        <v>0</v>
      </c>
      <c r="S40" s="13">
        <v>115.17</v>
      </c>
      <c r="T40" s="13">
        <v>0</v>
      </c>
      <c r="U40" s="13">
        <v>0</v>
      </c>
      <c r="V40" s="13">
        <v>0</v>
      </c>
    </row>
    <row r="41" spans="1:22">
      <c r="A41" t="s">
        <v>243</v>
      </c>
      <c r="B41">
        <v>2</v>
      </c>
      <c r="C41" t="s">
        <v>244</v>
      </c>
      <c r="D41">
        <v>1</v>
      </c>
      <c r="E41" t="s">
        <v>245</v>
      </c>
      <c r="F41">
        <v>1</v>
      </c>
      <c r="G41" t="s">
        <v>245</v>
      </c>
      <c r="H41" s="14" t="s">
        <v>904</v>
      </c>
      <c r="I41" t="s">
        <v>246</v>
      </c>
      <c r="J41" s="11" t="s">
        <v>149</v>
      </c>
      <c r="K41" s="13">
        <f t="shared" si="3"/>
        <v>85</v>
      </c>
      <c r="L41" s="13">
        <v>85</v>
      </c>
      <c r="M41" s="13"/>
      <c r="N41" s="13"/>
      <c r="O41" s="13">
        <v>1924.56</v>
      </c>
      <c r="P41" s="13">
        <v>0</v>
      </c>
      <c r="Q41" s="13">
        <v>0</v>
      </c>
      <c r="R41" s="13">
        <v>0</v>
      </c>
      <c r="S41" s="13">
        <v>148.52000000000001</v>
      </c>
      <c r="T41" s="13">
        <v>0</v>
      </c>
      <c r="U41" s="13">
        <v>0</v>
      </c>
      <c r="V41" s="13">
        <v>0</v>
      </c>
    </row>
    <row r="42" spans="1:22">
      <c r="A42" t="s">
        <v>247</v>
      </c>
      <c r="B42">
        <v>2</v>
      </c>
      <c r="C42" t="s">
        <v>244</v>
      </c>
      <c r="D42">
        <v>1</v>
      </c>
      <c r="E42" t="s">
        <v>245</v>
      </c>
      <c r="F42">
        <v>1</v>
      </c>
      <c r="G42" t="s">
        <v>245</v>
      </c>
      <c r="H42" s="14" t="s">
        <v>904</v>
      </c>
      <c r="I42" t="s">
        <v>248</v>
      </c>
      <c r="J42" s="11" t="s">
        <v>149</v>
      </c>
      <c r="K42" s="13">
        <f t="shared" si="3"/>
        <v>46.25</v>
      </c>
      <c r="L42" s="13">
        <v>46.25</v>
      </c>
      <c r="M42" s="13"/>
      <c r="N42" s="13"/>
      <c r="O42" s="13">
        <v>909.99</v>
      </c>
      <c r="P42" s="13">
        <v>0</v>
      </c>
      <c r="Q42" s="13">
        <v>0</v>
      </c>
      <c r="R42" s="13">
        <v>0</v>
      </c>
      <c r="S42" s="13">
        <v>76.63</v>
      </c>
      <c r="T42" s="13">
        <v>0</v>
      </c>
      <c r="U42" s="13">
        <v>0</v>
      </c>
      <c r="V42" s="13">
        <v>0</v>
      </c>
    </row>
    <row r="43" spans="1:22">
      <c r="A43" t="s">
        <v>249</v>
      </c>
      <c r="B43">
        <v>2</v>
      </c>
      <c r="C43" t="s">
        <v>244</v>
      </c>
      <c r="D43">
        <v>1</v>
      </c>
      <c r="E43" t="s">
        <v>245</v>
      </c>
      <c r="F43">
        <v>1</v>
      </c>
      <c r="G43" t="s">
        <v>245</v>
      </c>
      <c r="H43" s="14" t="s">
        <v>904</v>
      </c>
      <c r="I43" t="s">
        <v>250</v>
      </c>
      <c r="J43" s="11" t="s">
        <v>149</v>
      </c>
      <c r="K43" s="13">
        <f t="shared" si="3"/>
        <v>145</v>
      </c>
      <c r="L43" s="13">
        <v>145</v>
      </c>
      <c r="M43" s="13"/>
      <c r="N43" s="13"/>
      <c r="O43" s="13">
        <v>2230.0700000000002</v>
      </c>
      <c r="P43" s="13">
        <v>0</v>
      </c>
      <c r="Q43" s="13">
        <v>0</v>
      </c>
      <c r="R43" s="13">
        <v>0</v>
      </c>
      <c r="S43" s="13">
        <v>221.29</v>
      </c>
      <c r="T43" s="13">
        <v>0</v>
      </c>
      <c r="U43" s="13">
        <v>0</v>
      </c>
      <c r="V43" s="13">
        <v>0</v>
      </c>
    </row>
    <row r="44" spans="1:22">
      <c r="A44" t="s">
        <v>251</v>
      </c>
      <c r="B44">
        <v>2</v>
      </c>
      <c r="C44" t="s">
        <v>244</v>
      </c>
      <c r="D44">
        <v>2</v>
      </c>
      <c r="E44" t="s">
        <v>252</v>
      </c>
      <c r="F44">
        <v>1</v>
      </c>
      <c r="G44" t="s">
        <v>253</v>
      </c>
      <c r="H44" s="14" t="s">
        <v>904</v>
      </c>
      <c r="I44" t="s">
        <v>254</v>
      </c>
      <c r="J44" s="11" t="s">
        <v>149</v>
      </c>
      <c r="K44" s="13">
        <f t="shared" si="3"/>
        <v>25</v>
      </c>
      <c r="L44" s="13">
        <v>25</v>
      </c>
      <c r="M44" s="13"/>
      <c r="N44" s="13"/>
      <c r="O44" s="13">
        <v>2386.46</v>
      </c>
      <c r="P44" s="13">
        <v>0</v>
      </c>
      <c r="Q44" s="13">
        <v>0</v>
      </c>
      <c r="R44" s="13">
        <v>0</v>
      </c>
      <c r="S44" s="13">
        <v>90.75</v>
      </c>
      <c r="T44" s="13">
        <v>0</v>
      </c>
      <c r="U44" s="13">
        <v>0</v>
      </c>
      <c r="V44" s="13">
        <v>0</v>
      </c>
    </row>
    <row r="45" spans="1:22">
      <c r="A45" t="s">
        <v>255</v>
      </c>
      <c r="B45">
        <v>2</v>
      </c>
      <c r="C45" t="s">
        <v>244</v>
      </c>
      <c r="D45">
        <v>3</v>
      </c>
      <c r="E45" t="s">
        <v>256</v>
      </c>
      <c r="F45">
        <v>1</v>
      </c>
      <c r="G45" t="s">
        <v>257</v>
      </c>
      <c r="H45" s="14" t="s">
        <v>904</v>
      </c>
      <c r="I45" t="s">
        <v>258</v>
      </c>
      <c r="J45" s="11" t="s">
        <v>149</v>
      </c>
      <c r="K45" s="13">
        <f t="shared" si="3"/>
        <v>32</v>
      </c>
      <c r="L45" s="13">
        <v>32</v>
      </c>
      <c r="M45" s="13"/>
      <c r="N45" s="13"/>
      <c r="O45" s="13">
        <v>2781.08</v>
      </c>
      <c r="P45" s="13">
        <v>0</v>
      </c>
      <c r="Q45" s="13">
        <v>0</v>
      </c>
      <c r="R45" s="13">
        <v>0</v>
      </c>
      <c r="S45" s="13">
        <v>106.48</v>
      </c>
      <c r="T45" s="13">
        <v>0</v>
      </c>
      <c r="U45" s="13">
        <v>0</v>
      </c>
      <c r="V45" s="13">
        <v>0</v>
      </c>
    </row>
    <row r="46" spans="1:22" ht="14.1" customHeight="1">
      <c r="A46" t="s">
        <v>259</v>
      </c>
      <c r="B46">
        <v>2</v>
      </c>
      <c r="C46" t="s">
        <v>244</v>
      </c>
      <c r="D46">
        <v>7</v>
      </c>
      <c r="E46" t="s">
        <v>260</v>
      </c>
      <c r="F46">
        <v>1</v>
      </c>
      <c r="G46" t="s">
        <v>260</v>
      </c>
      <c r="H46" s="14" t="s">
        <v>904</v>
      </c>
      <c r="I46" s="12" t="s">
        <v>261</v>
      </c>
      <c r="J46" s="11" t="s">
        <v>149</v>
      </c>
      <c r="K46" s="13">
        <f t="shared" si="3"/>
        <v>360</v>
      </c>
      <c r="L46" s="13">
        <v>360</v>
      </c>
      <c r="M46" s="13"/>
      <c r="N46" s="13"/>
      <c r="O46" s="13">
        <v>2469.92</v>
      </c>
      <c r="P46" s="13"/>
      <c r="Q46" s="13"/>
      <c r="R46" s="13"/>
      <c r="S46" s="13">
        <v>22.58</v>
      </c>
      <c r="T46" s="13"/>
      <c r="U46" s="13"/>
      <c r="V46" s="13"/>
    </row>
    <row r="47" spans="1:22">
      <c r="A47" t="s">
        <v>262</v>
      </c>
      <c r="B47">
        <v>2</v>
      </c>
      <c r="C47" t="s">
        <v>244</v>
      </c>
      <c r="D47">
        <v>20</v>
      </c>
      <c r="E47" t="s">
        <v>263</v>
      </c>
      <c r="F47">
        <v>1</v>
      </c>
      <c r="G47" t="s">
        <v>264</v>
      </c>
      <c r="H47" s="14" t="s">
        <v>904</v>
      </c>
      <c r="I47" t="s">
        <v>265</v>
      </c>
      <c r="J47" s="11" t="s">
        <v>149</v>
      </c>
      <c r="K47" s="13">
        <f t="shared" si="3"/>
        <v>115</v>
      </c>
      <c r="L47" s="13">
        <v>115</v>
      </c>
      <c r="M47" s="13"/>
      <c r="N47" s="13"/>
      <c r="O47" s="13">
        <v>1954.73</v>
      </c>
      <c r="P47" s="13">
        <v>0</v>
      </c>
      <c r="Q47" s="13">
        <v>0</v>
      </c>
      <c r="R47" s="13">
        <v>0</v>
      </c>
      <c r="S47" s="13">
        <v>206.48</v>
      </c>
      <c r="T47" s="13">
        <v>0</v>
      </c>
      <c r="U47" s="13">
        <v>0</v>
      </c>
      <c r="V47" s="13">
        <v>0</v>
      </c>
    </row>
    <row r="48" spans="1:22" ht="14.1" customHeight="1">
      <c r="A48" t="s">
        <v>266</v>
      </c>
      <c r="B48">
        <v>3</v>
      </c>
      <c r="C48" t="s">
        <v>267</v>
      </c>
      <c r="D48">
        <v>1</v>
      </c>
      <c r="E48" t="s">
        <v>268</v>
      </c>
      <c r="F48">
        <v>2</v>
      </c>
      <c r="G48" t="s">
        <v>269</v>
      </c>
      <c r="H48" s="14" t="s">
        <v>904</v>
      </c>
      <c r="I48" s="12" t="s">
        <v>270</v>
      </c>
      <c r="J48" s="11" t="s">
        <v>149</v>
      </c>
      <c r="K48" s="13">
        <f t="shared" si="3"/>
        <v>529</v>
      </c>
      <c r="L48" s="13">
        <v>529</v>
      </c>
      <c r="M48" s="13"/>
      <c r="N48" s="13"/>
      <c r="O48" s="13">
        <v>2988.87</v>
      </c>
      <c r="P48" s="13"/>
      <c r="Q48" s="13"/>
      <c r="R48" s="13"/>
      <c r="S48" s="13">
        <v>-590.17999999999995</v>
      </c>
      <c r="T48" s="13"/>
      <c r="U48" s="13"/>
      <c r="V48" s="13"/>
    </row>
    <row r="49" spans="1:22" ht="14.1" customHeight="1">
      <c r="A49" t="s">
        <v>271</v>
      </c>
      <c r="B49">
        <v>3</v>
      </c>
      <c r="C49" t="s">
        <v>267</v>
      </c>
      <c r="D49">
        <v>1</v>
      </c>
      <c r="E49" t="s">
        <v>268</v>
      </c>
      <c r="F49">
        <v>3</v>
      </c>
      <c r="G49" t="s">
        <v>272</v>
      </c>
      <c r="H49" s="14" t="s">
        <v>904</v>
      </c>
      <c r="I49" s="12" t="s">
        <v>273</v>
      </c>
      <c r="J49" s="11" t="s">
        <v>149</v>
      </c>
      <c r="K49" s="13">
        <f t="shared" si="3"/>
        <v>515.20000000000005</v>
      </c>
      <c r="L49" s="13">
        <v>515.20000000000005</v>
      </c>
      <c r="M49" s="13"/>
      <c r="N49" s="13"/>
      <c r="O49" s="13">
        <v>3530.94</v>
      </c>
      <c r="P49" s="13"/>
      <c r="Q49" s="13"/>
      <c r="R49" s="13"/>
      <c r="S49" s="13">
        <v>-547.14</v>
      </c>
      <c r="T49" s="13"/>
      <c r="U49" s="13"/>
      <c r="V49" s="13"/>
    </row>
    <row r="50" spans="1:22" ht="14.1" customHeight="1">
      <c r="A50" t="s">
        <v>274</v>
      </c>
      <c r="B50">
        <v>3</v>
      </c>
      <c r="C50" t="s">
        <v>267</v>
      </c>
      <c r="D50">
        <v>1</v>
      </c>
      <c r="E50" t="s">
        <v>268</v>
      </c>
      <c r="F50">
        <v>4</v>
      </c>
      <c r="G50" t="s">
        <v>275</v>
      </c>
      <c r="H50" s="14" t="s">
        <v>904</v>
      </c>
      <c r="I50" s="12" t="s">
        <v>276</v>
      </c>
      <c r="J50" s="11" t="s">
        <v>149</v>
      </c>
      <c r="K50" s="13">
        <f t="shared" si="3"/>
        <v>515.20000000000005</v>
      </c>
      <c r="L50" s="13">
        <v>515.20000000000005</v>
      </c>
      <c r="M50" s="13"/>
      <c r="N50" s="13"/>
      <c r="O50" s="13">
        <v>3633.8</v>
      </c>
      <c r="P50" s="13"/>
      <c r="Q50" s="13"/>
      <c r="R50" s="13"/>
      <c r="S50" s="13">
        <v>-544.61</v>
      </c>
      <c r="T50" s="13"/>
      <c r="U50" s="13"/>
      <c r="V50" s="13"/>
    </row>
    <row r="51" spans="1:22" ht="14.1" customHeight="1">
      <c r="A51" t="s">
        <v>277</v>
      </c>
      <c r="B51">
        <v>3</v>
      </c>
      <c r="C51" t="s">
        <v>267</v>
      </c>
      <c r="D51">
        <v>2</v>
      </c>
      <c r="E51" t="s">
        <v>278</v>
      </c>
      <c r="F51">
        <v>2</v>
      </c>
      <c r="G51" t="s">
        <v>279</v>
      </c>
      <c r="H51" s="14" t="s">
        <v>904</v>
      </c>
      <c r="I51" s="12" t="s">
        <v>280</v>
      </c>
      <c r="J51" s="11" t="s">
        <v>149</v>
      </c>
      <c r="K51" s="13">
        <f t="shared" si="3"/>
        <v>490.6</v>
      </c>
      <c r="L51" s="13">
        <v>490.6</v>
      </c>
      <c r="M51" s="13"/>
      <c r="N51" s="13"/>
      <c r="O51" s="13">
        <v>3788.68</v>
      </c>
      <c r="P51" s="13"/>
      <c r="Q51" s="13"/>
      <c r="R51" s="13"/>
      <c r="S51" s="13">
        <v>-672.13</v>
      </c>
      <c r="T51" s="13"/>
      <c r="U51" s="13"/>
      <c r="V51" s="13"/>
    </row>
    <row r="52" spans="1:22" ht="14.1" customHeight="1">
      <c r="A52" t="s">
        <v>281</v>
      </c>
      <c r="B52">
        <v>3</v>
      </c>
      <c r="C52" t="s">
        <v>267</v>
      </c>
      <c r="D52">
        <v>2</v>
      </c>
      <c r="E52" t="s">
        <v>278</v>
      </c>
      <c r="F52">
        <v>6</v>
      </c>
      <c r="G52" t="s">
        <v>282</v>
      </c>
      <c r="H52" s="14" t="s">
        <v>904</v>
      </c>
      <c r="I52" s="12" t="s">
        <v>283</v>
      </c>
      <c r="J52" s="11" t="s">
        <v>149</v>
      </c>
      <c r="K52" s="13">
        <f t="shared" si="3"/>
        <v>700</v>
      </c>
      <c r="L52" s="13">
        <v>700</v>
      </c>
      <c r="M52" s="13"/>
      <c r="N52" s="13"/>
      <c r="O52" s="13">
        <v>5449.55</v>
      </c>
      <c r="P52" s="13"/>
      <c r="Q52" s="13"/>
      <c r="R52" s="13"/>
      <c r="S52" s="13">
        <v>-782.59</v>
      </c>
      <c r="T52" s="13"/>
      <c r="U52" s="13"/>
      <c r="V52" s="13"/>
    </row>
    <row r="53" spans="1:22" ht="14.1" customHeight="1">
      <c r="A53" t="s">
        <v>284</v>
      </c>
      <c r="B53">
        <v>3</v>
      </c>
      <c r="C53" t="s">
        <v>267</v>
      </c>
      <c r="D53">
        <v>3</v>
      </c>
      <c r="E53" t="s">
        <v>285</v>
      </c>
      <c r="F53">
        <v>1</v>
      </c>
      <c r="G53" t="s">
        <v>286</v>
      </c>
      <c r="H53" s="14" t="s">
        <v>904</v>
      </c>
      <c r="I53" s="12" t="s">
        <v>287</v>
      </c>
      <c r="J53" s="11" t="s">
        <v>157</v>
      </c>
      <c r="K53" s="13">
        <f>M53</f>
        <v>7.09</v>
      </c>
      <c r="L53" s="13"/>
      <c r="M53" s="13">
        <v>7.09</v>
      </c>
      <c r="N53" s="13"/>
      <c r="O53" s="13">
        <v>190.47</v>
      </c>
      <c r="P53" s="13"/>
      <c r="Q53" s="13"/>
      <c r="R53" s="13"/>
      <c r="S53" s="13">
        <v>-1.23</v>
      </c>
      <c r="T53" s="13"/>
      <c r="U53" s="13"/>
      <c r="V53" s="13"/>
    </row>
    <row r="54" spans="1:22">
      <c r="A54" t="s">
        <v>288</v>
      </c>
      <c r="B54">
        <v>4</v>
      </c>
      <c r="C54" t="s">
        <v>289</v>
      </c>
      <c r="D54">
        <v>1</v>
      </c>
      <c r="E54" t="s">
        <v>290</v>
      </c>
      <c r="F54">
        <v>2</v>
      </c>
      <c r="G54" t="s">
        <v>291</v>
      </c>
      <c r="H54" s="14" t="s">
        <v>904</v>
      </c>
      <c r="I54" t="s">
        <v>292</v>
      </c>
      <c r="J54" s="11" t="s">
        <v>233</v>
      </c>
      <c r="K54" s="13">
        <v>1</v>
      </c>
      <c r="L54" s="13">
        <v>7850</v>
      </c>
      <c r="M54" s="13"/>
      <c r="N54" s="13"/>
      <c r="O54" s="13">
        <v>22.74</v>
      </c>
      <c r="P54" s="13">
        <v>0</v>
      </c>
      <c r="Q54" s="13">
        <v>0</v>
      </c>
      <c r="R54" s="13">
        <v>0</v>
      </c>
      <c r="S54" s="13">
        <v>1.85</v>
      </c>
      <c r="T54" s="13">
        <v>0</v>
      </c>
      <c r="U54" s="13">
        <v>0</v>
      </c>
      <c r="V54" s="13">
        <v>0</v>
      </c>
    </row>
    <row r="55" spans="1:22">
      <c r="A55" t="s">
        <v>293</v>
      </c>
      <c r="B55">
        <v>4</v>
      </c>
      <c r="C55" t="s">
        <v>289</v>
      </c>
      <c r="D55">
        <v>1</v>
      </c>
      <c r="E55" t="s">
        <v>290</v>
      </c>
      <c r="F55">
        <v>2</v>
      </c>
      <c r="G55" t="s">
        <v>291</v>
      </c>
      <c r="H55" s="14" t="s">
        <v>904</v>
      </c>
      <c r="I55" t="s">
        <v>294</v>
      </c>
      <c r="J55" s="11" t="s">
        <v>295</v>
      </c>
      <c r="K55" s="13">
        <f>L55</f>
        <v>7850</v>
      </c>
      <c r="L55" s="13">
        <v>7850</v>
      </c>
      <c r="M55" s="13"/>
      <c r="N55" s="13"/>
      <c r="O55" s="13">
        <v>18387.11</v>
      </c>
      <c r="P55" s="13">
        <v>0</v>
      </c>
      <c r="Q55" s="13">
        <v>0</v>
      </c>
      <c r="R55" s="13">
        <v>0</v>
      </c>
      <c r="S55" s="13">
        <v>1594.15</v>
      </c>
      <c r="T55" s="13">
        <v>0</v>
      </c>
      <c r="U55" s="13">
        <v>0</v>
      </c>
      <c r="V55" s="13">
        <v>0</v>
      </c>
    </row>
    <row r="56" spans="1:22" ht="14.1" customHeight="1">
      <c r="A56" t="s">
        <v>296</v>
      </c>
      <c r="B56">
        <v>4</v>
      </c>
      <c r="C56" t="s">
        <v>289</v>
      </c>
      <c r="D56">
        <v>1</v>
      </c>
      <c r="E56" t="s">
        <v>290</v>
      </c>
      <c r="F56">
        <v>3</v>
      </c>
      <c r="G56" t="s">
        <v>297</v>
      </c>
      <c r="H56" s="14" t="s">
        <v>904</v>
      </c>
      <c r="I56" s="12" t="s">
        <v>298</v>
      </c>
      <c r="J56" s="11" t="s">
        <v>295</v>
      </c>
      <c r="K56" s="13">
        <f>L56</f>
        <v>7850</v>
      </c>
      <c r="L56" s="13">
        <v>7850</v>
      </c>
      <c r="M56" s="13"/>
      <c r="N56" s="13"/>
      <c r="O56" s="13">
        <v>26406.2</v>
      </c>
      <c r="P56" s="13">
        <v>0</v>
      </c>
      <c r="Q56" s="13">
        <v>0</v>
      </c>
      <c r="R56" s="13">
        <v>0</v>
      </c>
      <c r="S56" s="13">
        <v>1641.02</v>
      </c>
      <c r="T56" s="13">
        <v>0</v>
      </c>
      <c r="U56" s="13">
        <v>0</v>
      </c>
      <c r="V56" s="13">
        <v>0</v>
      </c>
    </row>
    <row r="57" spans="1:22" ht="14.1" customHeight="1">
      <c r="A57" t="s">
        <v>299</v>
      </c>
      <c r="B57">
        <v>4</v>
      </c>
      <c r="C57" t="s">
        <v>289</v>
      </c>
      <c r="D57">
        <v>1</v>
      </c>
      <c r="E57" t="s">
        <v>290</v>
      </c>
      <c r="F57">
        <v>3</v>
      </c>
      <c r="G57" t="s">
        <v>297</v>
      </c>
      <c r="H57" s="14" t="s">
        <v>904</v>
      </c>
      <c r="I57" s="12" t="s">
        <v>300</v>
      </c>
      <c r="J57" s="11" t="s">
        <v>233</v>
      </c>
      <c r="K57" s="13">
        <v>1</v>
      </c>
      <c r="L57" s="13">
        <v>7850</v>
      </c>
      <c r="M57" s="13"/>
      <c r="N57" s="13"/>
      <c r="O57" s="13">
        <v>31.27</v>
      </c>
      <c r="P57" s="13">
        <v>0</v>
      </c>
      <c r="Q57" s="13">
        <v>0</v>
      </c>
      <c r="R57" s="13">
        <v>0</v>
      </c>
      <c r="S57" s="13">
        <v>3.27</v>
      </c>
      <c r="T57" s="13">
        <v>0</v>
      </c>
      <c r="U57" s="13">
        <v>0</v>
      </c>
      <c r="V57" s="13">
        <v>0</v>
      </c>
    </row>
    <row r="58" spans="1:22" ht="14.1" customHeight="1">
      <c r="A58" t="s">
        <v>301</v>
      </c>
      <c r="B58">
        <v>4</v>
      </c>
      <c r="C58" t="s">
        <v>289</v>
      </c>
      <c r="D58">
        <v>1</v>
      </c>
      <c r="E58" t="s">
        <v>290</v>
      </c>
      <c r="F58">
        <v>4</v>
      </c>
      <c r="G58" s="12" t="s">
        <v>302</v>
      </c>
      <c r="H58" s="14" t="s">
        <v>904</v>
      </c>
      <c r="I58" s="12" t="s">
        <v>303</v>
      </c>
      <c r="J58" s="11" t="s">
        <v>157</v>
      </c>
      <c r="K58" s="13">
        <f>M58</f>
        <v>5.72</v>
      </c>
      <c r="L58" s="13"/>
      <c r="M58" s="13">
        <v>5.72</v>
      </c>
      <c r="N58" s="13"/>
      <c r="O58" s="13">
        <v>178.3</v>
      </c>
      <c r="P58" s="13">
        <v>0</v>
      </c>
      <c r="Q58" s="13">
        <v>0</v>
      </c>
      <c r="R58" s="13">
        <v>0</v>
      </c>
      <c r="S58" s="13">
        <v>19.170000000000002</v>
      </c>
      <c r="T58" s="13">
        <v>0</v>
      </c>
      <c r="U58" s="13">
        <v>0</v>
      </c>
      <c r="V58" s="13">
        <v>0</v>
      </c>
    </row>
    <row r="59" spans="1:22" ht="14.1" customHeight="1">
      <c r="A59" t="s">
        <v>304</v>
      </c>
      <c r="B59">
        <v>4</v>
      </c>
      <c r="C59" t="s">
        <v>289</v>
      </c>
      <c r="D59">
        <v>1</v>
      </c>
      <c r="E59" t="s">
        <v>290</v>
      </c>
      <c r="F59">
        <v>5</v>
      </c>
      <c r="G59" t="s">
        <v>305</v>
      </c>
      <c r="H59" s="14" t="s">
        <v>904</v>
      </c>
      <c r="I59" s="12" t="s">
        <v>306</v>
      </c>
      <c r="J59" s="11" t="s">
        <v>233</v>
      </c>
      <c r="K59" s="13">
        <v>1</v>
      </c>
      <c r="L59" s="13"/>
      <c r="M59" s="13"/>
      <c r="N59" s="13"/>
      <c r="O59" s="13">
        <v>15.79</v>
      </c>
      <c r="P59" s="13">
        <v>0</v>
      </c>
      <c r="Q59" s="13">
        <v>0</v>
      </c>
      <c r="R59" s="13">
        <v>0</v>
      </c>
      <c r="S59" s="13">
        <v>1.67</v>
      </c>
      <c r="T59" s="13">
        <v>0</v>
      </c>
      <c r="U59" s="13">
        <v>0</v>
      </c>
      <c r="V59" s="13">
        <v>0</v>
      </c>
    </row>
    <row r="60" spans="1:22" ht="14.1" customHeight="1">
      <c r="A60" t="s">
        <v>307</v>
      </c>
      <c r="B60">
        <v>5</v>
      </c>
      <c r="C60" t="s">
        <v>308</v>
      </c>
      <c r="D60">
        <v>1</v>
      </c>
      <c r="E60" t="s">
        <v>309</v>
      </c>
      <c r="F60">
        <v>1</v>
      </c>
      <c r="G60" t="s">
        <v>310</v>
      </c>
      <c r="H60" s="14" t="s">
        <v>904</v>
      </c>
      <c r="I60" s="12" t="s">
        <v>311</v>
      </c>
      <c r="J60" s="11" t="s">
        <v>233</v>
      </c>
      <c r="K60" s="13">
        <v>1</v>
      </c>
      <c r="L60" s="13"/>
      <c r="M60" s="13"/>
      <c r="N60" s="13"/>
      <c r="O60" s="13">
        <v>18.73</v>
      </c>
      <c r="P60" s="13">
        <v>0</v>
      </c>
      <c r="Q60" s="13">
        <v>0</v>
      </c>
      <c r="R60" s="13">
        <v>0</v>
      </c>
      <c r="S60" s="13">
        <v>0.98</v>
      </c>
      <c r="T60" s="13">
        <v>0</v>
      </c>
      <c r="U60" s="13">
        <v>0</v>
      </c>
      <c r="V60" s="13">
        <v>0</v>
      </c>
    </row>
    <row r="61" spans="1:22" ht="14.1" customHeight="1">
      <c r="A61" t="s">
        <v>312</v>
      </c>
      <c r="B61">
        <v>5</v>
      </c>
      <c r="C61" t="s">
        <v>308</v>
      </c>
      <c r="D61">
        <v>1</v>
      </c>
      <c r="E61" t="s">
        <v>309</v>
      </c>
      <c r="F61">
        <v>1</v>
      </c>
      <c r="G61" t="s">
        <v>310</v>
      </c>
      <c r="H61" s="14" t="s">
        <v>904</v>
      </c>
      <c r="I61" s="12" t="s">
        <v>313</v>
      </c>
      <c r="J61" s="11" t="s">
        <v>233</v>
      </c>
      <c r="K61" s="13">
        <v>1</v>
      </c>
      <c r="L61" s="13"/>
      <c r="M61" s="13"/>
      <c r="N61" s="13"/>
      <c r="O61" s="13">
        <v>16.91</v>
      </c>
      <c r="P61" s="13">
        <v>0</v>
      </c>
      <c r="Q61" s="13">
        <v>0</v>
      </c>
      <c r="R61" s="13">
        <v>0</v>
      </c>
      <c r="S61" s="13">
        <v>0.9</v>
      </c>
      <c r="T61" s="13">
        <v>0</v>
      </c>
      <c r="U61" s="13">
        <v>0</v>
      </c>
      <c r="V61" s="13">
        <v>0</v>
      </c>
    </row>
    <row r="62" spans="1:22">
      <c r="A62" t="s">
        <v>314</v>
      </c>
      <c r="B62">
        <v>6</v>
      </c>
      <c r="C62" t="s">
        <v>315</v>
      </c>
      <c r="D62">
        <v>3</v>
      </c>
      <c r="E62" t="s">
        <v>316</v>
      </c>
      <c r="F62">
        <v>1</v>
      </c>
      <c r="G62" t="s">
        <v>317</v>
      </c>
      <c r="H62" s="14" t="s">
        <v>904</v>
      </c>
      <c r="I62" t="s">
        <v>318</v>
      </c>
      <c r="J62" s="11" t="s">
        <v>157</v>
      </c>
      <c r="K62" s="13">
        <f>M62</f>
        <v>5</v>
      </c>
      <c r="L62" s="13"/>
      <c r="M62" s="13">
        <v>5</v>
      </c>
      <c r="N62" s="13"/>
      <c r="O62" s="13">
        <v>197.91</v>
      </c>
      <c r="P62" s="13">
        <v>0</v>
      </c>
      <c r="Q62" s="13">
        <v>0</v>
      </c>
      <c r="R62" s="13">
        <v>0</v>
      </c>
      <c r="S62" s="13">
        <v>3.06</v>
      </c>
      <c r="T62" s="13">
        <v>0</v>
      </c>
      <c r="U62" s="13">
        <v>0</v>
      </c>
      <c r="V62" s="13">
        <v>0</v>
      </c>
    </row>
    <row r="64" spans="1:22" ht="14.1" customHeight="1">
      <c r="A64" s="19" t="s">
        <v>319</v>
      </c>
      <c r="B64">
        <f t="shared" ref="B64:H64" si="4">B33</f>
        <v>1</v>
      </c>
      <c r="C64" t="str">
        <f t="shared" si="4"/>
        <v>Mineral building products</v>
      </c>
      <c r="D64">
        <f t="shared" si="4"/>
        <v>4</v>
      </c>
      <c r="E64" t="str">
        <f t="shared" si="4"/>
        <v>Mortar and Concrete</v>
      </c>
      <c r="F64">
        <f t="shared" si="4"/>
        <v>1</v>
      </c>
      <c r="G64" s="19" t="str">
        <f t="shared" si="4"/>
        <v>Ready mixed concrete</v>
      </c>
      <c r="H64" s="14" t="str">
        <f t="shared" si="4"/>
        <v>TH</v>
      </c>
      <c r="I64" s="12" t="str">
        <f t="shared" ref="I64:I72" si="5">A64</f>
        <v>CONCRETE generic data for modelling with BoQ</v>
      </c>
      <c r="J64" s="14" t="str">
        <f>J33</f>
        <v>m³</v>
      </c>
      <c r="K64" s="15">
        <f>K33</f>
        <v>2306</v>
      </c>
      <c r="L64" s="15">
        <f>L33</f>
        <v>2306</v>
      </c>
      <c r="M64" s="15"/>
      <c r="N64" s="15"/>
      <c r="O64" s="15">
        <f>O33</f>
        <v>1093.32</v>
      </c>
      <c r="P64" s="15"/>
      <c r="Q64" s="15"/>
      <c r="R64" s="15"/>
      <c r="S64" s="15">
        <f>S33</f>
        <v>322.63</v>
      </c>
    </row>
    <row r="65" spans="1:19" ht="14.1" customHeight="1">
      <c r="A65" s="19" t="s">
        <v>320</v>
      </c>
      <c r="B65">
        <f t="shared" ref="B65:H65" si="6">B56</f>
        <v>4</v>
      </c>
      <c r="C65" t="str">
        <f t="shared" si="6"/>
        <v>Metals</v>
      </c>
      <c r="D65">
        <f t="shared" si="6"/>
        <v>1</v>
      </c>
      <c r="E65" t="str">
        <f t="shared" si="6"/>
        <v>Steel and iron</v>
      </c>
      <c r="F65">
        <f t="shared" si="6"/>
        <v>3</v>
      </c>
      <c r="G65" s="12" t="str">
        <f t="shared" si="6"/>
        <v>Structural steel profile</v>
      </c>
      <c r="H65" s="14" t="str">
        <f t="shared" si="6"/>
        <v>TH</v>
      </c>
      <c r="I65" s="12" t="str">
        <f t="shared" si="5"/>
        <v>STEEL generic data for modelling with BoQ</v>
      </c>
      <c r="J65" s="14" t="str">
        <f>J56</f>
        <v>t</v>
      </c>
      <c r="K65" s="15">
        <f>K56</f>
        <v>7850</v>
      </c>
      <c r="L65" s="15">
        <f>L56</f>
        <v>7850</v>
      </c>
      <c r="M65" s="15"/>
      <c r="N65" s="15"/>
      <c r="O65" s="15">
        <f>O56</f>
        <v>26406.2</v>
      </c>
      <c r="P65" s="15"/>
      <c r="Q65" s="15"/>
      <c r="R65" s="15"/>
      <c r="S65" s="15">
        <f>S56</f>
        <v>1641.02</v>
      </c>
    </row>
    <row r="66" spans="1:19">
      <c r="A66" s="19" t="s">
        <v>321</v>
      </c>
      <c r="B66">
        <f t="shared" ref="B66:H66" si="7">B38</f>
        <v>1</v>
      </c>
      <c r="C66" t="str">
        <f t="shared" si="7"/>
        <v>Mineral building products</v>
      </c>
      <c r="D66">
        <f t="shared" si="7"/>
        <v>4</v>
      </c>
      <c r="E66" t="str">
        <f t="shared" si="7"/>
        <v>Mortar and Concrete</v>
      </c>
      <c r="F66">
        <f t="shared" si="7"/>
        <v>4</v>
      </c>
      <c r="G66" s="19" t="str">
        <f t="shared" si="7"/>
        <v>Renders and plasters</v>
      </c>
      <c r="H66" s="14" t="str">
        <f t="shared" si="7"/>
        <v>TH</v>
      </c>
      <c r="I66" t="str">
        <f t="shared" si="5"/>
        <v>PLASTER generic data for modelling with BoQ</v>
      </c>
      <c r="J66" s="14" t="str">
        <f>J38</f>
        <v>m³</v>
      </c>
      <c r="K66" s="15">
        <f>K38</f>
        <v>900</v>
      </c>
      <c r="L66" s="15">
        <f>L38</f>
        <v>900</v>
      </c>
      <c r="M66" s="15"/>
      <c r="N66" s="15"/>
      <c r="O66" s="15">
        <f>O38</f>
        <v>2181.08</v>
      </c>
      <c r="P66" s="15"/>
      <c r="Q66" s="15"/>
      <c r="R66" s="15"/>
      <c r="S66" s="15">
        <f>S38</f>
        <v>232.77</v>
      </c>
    </row>
    <row r="67" spans="1:19">
      <c r="A67" s="19" t="s">
        <v>322</v>
      </c>
      <c r="B67">
        <f t="shared" ref="B67:H67" si="8">B36</f>
        <v>1</v>
      </c>
      <c r="C67" t="str">
        <f t="shared" si="8"/>
        <v>Mineral building products</v>
      </c>
      <c r="D67">
        <f t="shared" si="8"/>
        <v>4</v>
      </c>
      <c r="E67" t="str">
        <f t="shared" si="8"/>
        <v>Mortar and Concrete</v>
      </c>
      <c r="F67">
        <f t="shared" si="8"/>
        <v>3</v>
      </c>
      <c r="G67" s="19" t="str">
        <f t="shared" si="8"/>
        <v>Screed dry mortar</v>
      </c>
      <c r="H67" s="14" t="str">
        <f t="shared" si="8"/>
        <v>TH</v>
      </c>
      <c r="I67" t="str">
        <f t="shared" si="5"/>
        <v>CEMENT SCREED generic data for modelling with BoQ</v>
      </c>
      <c r="J67" s="14" t="str">
        <f>J36</f>
        <v>kg</v>
      </c>
      <c r="K67" s="15">
        <f>K36</f>
        <v>1</v>
      </c>
      <c r="L67" s="15">
        <f>L36</f>
        <v>2400</v>
      </c>
      <c r="M67" s="15"/>
      <c r="N67" s="15"/>
      <c r="O67" s="15">
        <f>O36</f>
        <v>1.49</v>
      </c>
      <c r="P67" s="15"/>
      <c r="Q67" s="15"/>
      <c r="R67" s="15"/>
      <c r="S67" s="15">
        <f>S36</f>
        <v>0.23</v>
      </c>
    </row>
    <row r="68" spans="1:19">
      <c r="A68" s="19" t="s">
        <v>323</v>
      </c>
      <c r="B68">
        <f t="shared" ref="B68:H68" si="9">B18</f>
        <v>1</v>
      </c>
      <c r="C68" t="str">
        <f t="shared" si="9"/>
        <v>Mineral building products</v>
      </c>
      <c r="D68">
        <f t="shared" si="9"/>
        <v>3</v>
      </c>
      <c r="E68" t="str">
        <f t="shared" si="9"/>
        <v>Bricks, blocks and elements</v>
      </c>
      <c r="F68">
        <f t="shared" si="9"/>
        <v>8</v>
      </c>
      <c r="G68" t="str">
        <f t="shared" si="9"/>
        <v>Natural cut stone</v>
      </c>
      <c r="H68" s="14" t="str">
        <f t="shared" si="9"/>
        <v>TH</v>
      </c>
      <c r="I68" t="str">
        <f t="shared" si="5"/>
        <v>FLOOR FINISH generic data for modelling with BoQ</v>
      </c>
      <c r="J68" s="14" t="str">
        <f>J18</f>
        <v>m²</v>
      </c>
      <c r="K68" s="15">
        <f>K18</f>
        <v>52</v>
      </c>
      <c r="L68" s="15"/>
      <c r="M68" s="15">
        <f>M18</f>
        <v>52</v>
      </c>
      <c r="N68" s="15"/>
      <c r="O68" s="15">
        <f>O18</f>
        <v>231.87</v>
      </c>
      <c r="P68" s="15"/>
      <c r="Q68" s="15"/>
      <c r="R68" s="15"/>
      <c r="S68" s="15">
        <f>S18</f>
        <v>17.7</v>
      </c>
    </row>
    <row r="69" spans="1:19">
      <c r="A69" s="19" t="s">
        <v>324</v>
      </c>
      <c r="B69">
        <f t="shared" ref="B69:H69" si="10">B8</f>
        <v>1</v>
      </c>
      <c r="C69" t="str">
        <f t="shared" si="10"/>
        <v>Mineral building products</v>
      </c>
      <c r="D69">
        <f t="shared" si="10"/>
        <v>3</v>
      </c>
      <c r="E69" t="str">
        <f t="shared" si="10"/>
        <v>Bricks, blocks and elements</v>
      </c>
      <c r="F69">
        <f t="shared" si="10"/>
        <v>3</v>
      </c>
      <c r="G69" t="str">
        <f t="shared" si="10"/>
        <v>Aerated concrete</v>
      </c>
      <c r="H69" s="14" t="str">
        <f t="shared" si="10"/>
        <v>TH</v>
      </c>
      <c r="I69" t="str">
        <f t="shared" si="5"/>
        <v>AAC BLOCK generic data for modelling with BoQ</v>
      </c>
      <c r="J69" s="14" t="str">
        <f>J8</f>
        <v>m³</v>
      </c>
      <c r="K69" s="15">
        <f>K8</f>
        <v>500</v>
      </c>
      <c r="L69" s="15">
        <f>L8</f>
        <v>500</v>
      </c>
      <c r="M69" s="15"/>
      <c r="N69" s="15"/>
      <c r="O69" s="15">
        <f>O8</f>
        <v>1673.12</v>
      </c>
      <c r="P69" s="15"/>
      <c r="Q69" s="15"/>
      <c r="R69" s="15"/>
      <c r="S69" s="15">
        <f>S8</f>
        <v>274.75</v>
      </c>
    </row>
    <row r="70" spans="1:19">
      <c r="A70" s="19" t="s">
        <v>325</v>
      </c>
      <c r="B70">
        <f t="shared" ref="B70:H70" si="11">B3</f>
        <v>1</v>
      </c>
      <c r="C70" t="str">
        <f t="shared" si="11"/>
        <v>Mineral building products</v>
      </c>
      <c r="D70">
        <f t="shared" si="11"/>
        <v>3</v>
      </c>
      <c r="E70" t="str">
        <f t="shared" si="11"/>
        <v>Bricks, blocks and elements</v>
      </c>
      <c r="F70">
        <f t="shared" si="11"/>
        <v>2</v>
      </c>
      <c r="G70" t="str">
        <f t="shared" si="11"/>
        <v>Fired brick</v>
      </c>
      <c r="H70" s="14" t="str">
        <f t="shared" si="11"/>
        <v>TH</v>
      </c>
      <c r="I70" t="str">
        <f t="shared" si="5"/>
        <v>RED BRICK generic data for modelling with BoQ</v>
      </c>
      <c r="J70" s="14" t="str">
        <f>J3</f>
        <v>m³</v>
      </c>
      <c r="K70" s="15">
        <f>K3</f>
        <v>1800</v>
      </c>
      <c r="L70" s="15">
        <f>L3</f>
        <v>1800</v>
      </c>
      <c r="M70" s="15"/>
      <c r="N70" s="15"/>
      <c r="O70" s="15">
        <f>O3</f>
        <v>8845.7199999999993</v>
      </c>
      <c r="P70" s="15"/>
      <c r="Q70" s="15"/>
      <c r="R70" s="15"/>
      <c r="S70" s="15">
        <f>S3</f>
        <v>600.30999999999995</v>
      </c>
    </row>
    <row r="71" spans="1:19">
      <c r="A71" s="19" t="s">
        <v>326</v>
      </c>
      <c r="B71">
        <f t="shared" ref="B71:H71" si="12">B15</f>
        <v>1</v>
      </c>
      <c r="C71" t="str">
        <f t="shared" si="12"/>
        <v>Mineral building products</v>
      </c>
      <c r="D71">
        <f t="shared" si="12"/>
        <v>3</v>
      </c>
      <c r="E71" t="str">
        <f t="shared" si="12"/>
        <v>Bricks, blocks and elements</v>
      </c>
      <c r="F71">
        <f t="shared" si="12"/>
        <v>5</v>
      </c>
      <c r="G71" s="19" t="str">
        <f t="shared" si="12"/>
        <v>Precast concrete elements and goods</v>
      </c>
      <c r="H71" s="14" t="str">
        <f t="shared" si="12"/>
        <v>TH</v>
      </c>
      <c r="I71" t="str">
        <f t="shared" si="5"/>
        <v>CONCRETE BRICK generic data for modelling with BoQ</v>
      </c>
      <c r="J71" s="14" t="str">
        <f>J15</f>
        <v>m³</v>
      </c>
      <c r="K71" s="15">
        <f>K15</f>
        <v>2000</v>
      </c>
      <c r="L71" s="15">
        <f>L15</f>
        <v>2000</v>
      </c>
      <c r="M71" s="15"/>
      <c r="N71" s="15"/>
      <c r="O71" s="15">
        <f>O15</f>
        <v>1414.7</v>
      </c>
      <c r="P71" s="15"/>
      <c r="Q71" s="15"/>
      <c r="R71" s="15"/>
      <c r="S71" s="15">
        <f>S15</f>
        <v>286.7</v>
      </c>
    </row>
    <row r="72" spans="1:19">
      <c r="A72" s="19" t="s">
        <v>327</v>
      </c>
      <c r="B72">
        <f t="shared" ref="B72:H72" si="13">B24</f>
        <v>1</v>
      </c>
      <c r="C72" t="str">
        <f t="shared" si="13"/>
        <v>Mineral building products</v>
      </c>
      <c r="D72">
        <f t="shared" si="13"/>
        <v>3</v>
      </c>
      <c r="E72" t="str">
        <f t="shared" si="13"/>
        <v>Bricks, blocks and elements</v>
      </c>
      <c r="F72">
        <f t="shared" si="13"/>
        <v>11</v>
      </c>
      <c r="G72" s="19" t="str">
        <f t="shared" si="13"/>
        <v>Concrete roof tiles</v>
      </c>
      <c r="H72" s="14" t="str">
        <f t="shared" si="13"/>
        <v>TH</v>
      </c>
      <c r="I72" t="str">
        <f t="shared" si="5"/>
        <v>CONCRETE ROOF TILES generic data for modelling with BoQ</v>
      </c>
      <c r="J72" s="14" t="str">
        <f>J24</f>
        <v>m²</v>
      </c>
      <c r="K72" s="11">
        <f>K24</f>
        <v>42</v>
      </c>
      <c r="L72" s="11"/>
      <c r="M72" s="11">
        <f>M24</f>
        <v>42</v>
      </c>
      <c r="N72" s="15"/>
      <c r="O72" s="11">
        <f>O24</f>
        <v>121.25</v>
      </c>
      <c r="P72" s="15"/>
      <c r="Q72" s="15"/>
      <c r="R72" s="15"/>
      <c r="S72" s="11">
        <f>S24</f>
        <v>16.25</v>
      </c>
    </row>
    <row r="73" spans="1:19" ht="14.1" customHeight="1">
      <c r="G73" s="12"/>
      <c r="H73" s="14"/>
      <c r="I73" s="12"/>
      <c r="J73" s="11"/>
      <c r="K73" s="13"/>
      <c r="L73" s="13"/>
      <c r="M73" s="13"/>
      <c r="N73" s="13"/>
      <c r="O73" s="13"/>
      <c r="P73" s="13"/>
      <c r="Q73" s="13"/>
      <c r="R73" s="13"/>
      <c r="S73" s="13"/>
    </row>
    <row r="74" spans="1:19" ht="14.1" customHeight="1">
      <c r="H74" s="14"/>
      <c r="I74" s="12"/>
      <c r="J74" s="11"/>
      <c r="K74" s="13"/>
      <c r="L74" s="13"/>
      <c r="M74" s="13"/>
      <c r="N74" s="13"/>
      <c r="O74" s="13"/>
      <c r="P74" s="13"/>
      <c r="Q74" s="13"/>
      <c r="R74" s="13"/>
      <c r="S74" s="13"/>
    </row>
    <row r="75" spans="1:19" ht="14.1" customHeight="1">
      <c r="G75" s="12"/>
      <c r="H75" s="14"/>
      <c r="I75" s="12"/>
      <c r="J75" s="11"/>
      <c r="K75" s="13"/>
      <c r="L75" s="13"/>
      <c r="M75" s="13"/>
      <c r="N75" s="13"/>
      <c r="O75" s="13"/>
      <c r="P75" s="13"/>
      <c r="Q75" s="13"/>
      <c r="R75" s="13"/>
      <c r="S75" s="13"/>
    </row>
    <row r="76" spans="1:19" ht="14.1" customHeight="1">
      <c r="H76" s="14"/>
      <c r="I76" s="12"/>
      <c r="J76" s="11"/>
      <c r="K76" s="13"/>
      <c r="L76" s="13"/>
      <c r="M76" s="13"/>
      <c r="N76" s="13"/>
      <c r="O76" s="13"/>
      <c r="P76" s="13"/>
      <c r="Q76" s="13"/>
      <c r="R76" s="13"/>
      <c r="S76" s="13"/>
    </row>
    <row r="77" spans="1:19" ht="14.1" customHeight="1">
      <c r="G77" s="12"/>
      <c r="H77" s="14"/>
      <c r="I77" s="12"/>
      <c r="J77" s="11"/>
      <c r="K77" s="13"/>
      <c r="L77" s="13"/>
      <c r="M77" s="13"/>
      <c r="N77" s="13"/>
      <c r="O77" s="13"/>
      <c r="P77" s="13"/>
      <c r="Q77" s="13"/>
      <c r="R77" s="13"/>
      <c r="S77" s="13"/>
    </row>
    <row r="78" spans="1:19" ht="14.1" customHeight="1">
      <c r="H78" s="14"/>
      <c r="I78" s="12"/>
      <c r="J78" s="11"/>
      <c r="K78" s="13"/>
      <c r="L78" s="13"/>
      <c r="M78" s="13"/>
      <c r="N78" s="13"/>
      <c r="O78" s="13"/>
      <c r="P78" s="13"/>
      <c r="Q78" s="13"/>
      <c r="R78" s="13"/>
      <c r="S78" s="13"/>
    </row>
    <row r="79" spans="1:19" ht="14.1" customHeight="1">
      <c r="G79" s="12"/>
      <c r="H79" s="14"/>
      <c r="I79" s="12"/>
      <c r="J79" s="11"/>
      <c r="K79" s="13"/>
      <c r="L79" s="13"/>
      <c r="M79" s="13"/>
      <c r="N79" s="13"/>
      <c r="O79" s="13"/>
      <c r="P79" s="13"/>
      <c r="Q79" s="13"/>
      <c r="R79" s="13"/>
      <c r="S79" s="13"/>
    </row>
  </sheetData>
  <pageMargins left="0.70866141732283472" right="0.70866141732283472" top="1.1417322834645669" bottom="0.78740157480314965" header="0.31496062992125978" footer="0.31496062992125978"/>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703CCA121D10447BABC21BE6783E39D" ma:contentTypeVersion="15" ma:contentTypeDescription="Ein neues Dokument erstellen." ma:contentTypeScope="" ma:versionID="c72748ef2ac5e283f8c41d3ce017ea41">
  <xsd:schema xmlns:xsd="http://www.w3.org/2001/XMLSchema" xmlns:xs="http://www.w3.org/2001/XMLSchema" xmlns:p="http://schemas.microsoft.com/office/2006/metadata/properties" xmlns:ns2="51f35418-f1f7-42c1-a0dc-0984407f3f3b" xmlns:ns3="748b8de3-1fd8-4591-b76e-ce9ed7a63162" targetNamespace="http://schemas.microsoft.com/office/2006/metadata/properties" ma:root="true" ma:fieldsID="3e1b26d34631620c017585c3674e899b" ns2:_="" ns3:_="">
    <xsd:import namespace="51f35418-f1f7-42c1-a0dc-0984407f3f3b"/>
    <xsd:import namespace="748b8de3-1fd8-4591-b76e-ce9ed7a6316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ConsortiumMembe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35418-f1f7-42c1-a0dc-0984407f3f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a747bd08-d6a3-4aef-ac02-065dcdc953a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ConsortiumMember" ma:index="21" nillable="true" ma:displayName="Consortium Member" ma:default="HEAT" ma:format="Dropdown" ma:internalName="ConsortiumMember" ma:requiredMultiChoice="true">
      <xsd:complexType>
        <xsd:complexContent>
          <xsd:extension base="dms:MultiChoice">
            <xsd:sequence>
              <xsd:element name="Value" maxOccurs="unbounded" minOccurs="0" nillable="true">
                <xsd:simpleType>
                  <xsd:restriction base="dms:Choice">
                    <xsd:enumeration value="GGGI"/>
                    <xsd:enumeration value="HEAT"/>
                    <xsd:enumeration value="ACE"/>
                    <xsd:enumeration value="EESL"/>
                  </xsd:restriction>
                </xsd:simpleType>
              </xsd:element>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8b8de3-1fd8-4591-b76e-ce9ed7a6316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3d6ed05-47a3-442e-86f7-1f53ff1bf711}" ma:internalName="TaxCatchAll" ma:showField="CatchAllData" ma:web="748b8de3-1fd8-4591-b76e-ce9ed7a6316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1f35418-f1f7-42c1-a0dc-0984407f3f3b">
      <Terms xmlns="http://schemas.microsoft.com/office/infopath/2007/PartnerControls"/>
    </lcf76f155ced4ddcb4097134ff3c332f>
    <TaxCatchAll xmlns="748b8de3-1fd8-4591-b76e-ce9ed7a63162" xsi:nil="true"/>
    <ConsortiumMember xmlns="51f35418-f1f7-42c1-a0dc-0984407f3f3b">
      <Value>HEAT</Value>
    </ConsortiumMember>
  </documentManagement>
</p:properties>
</file>

<file path=customXml/itemProps1.xml><?xml version="1.0" encoding="utf-8"?>
<ds:datastoreItem xmlns:ds="http://schemas.openxmlformats.org/officeDocument/2006/customXml" ds:itemID="{F9E8DE79-F82D-4E71-918A-71F98CB46FCE}"/>
</file>

<file path=customXml/itemProps2.xml><?xml version="1.0" encoding="utf-8"?>
<ds:datastoreItem xmlns:ds="http://schemas.openxmlformats.org/officeDocument/2006/customXml" ds:itemID="{FB6AD789-8B3C-4477-BE33-FD0477639D22}"/>
</file>

<file path=customXml/itemProps3.xml><?xml version="1.0" encoding="utf-8"?>
<ds:datastoreItem xmlns:ds="http://schemas.openxmlformats.org/officeDocument/2006/customXml" ds:itemID="{CF9E507E-CA16-4220-BF7E-04BDC70CF0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Schreiber, Philipp</dc:creator>
  <cp:keywords/>
  <dc:description/>
  <cp:lastModifiedBy/>
  <cp:revision/>
  <dcterms:created xsi:type="dcterms:W3CDTF">2010-03-26T12:48:59Z</dcterms:created>
  <dcterms:modified xsi:type="dcterms:W3CDTF">2026-05-18T12:02:17Z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0x0101003703CCA121D10447BABC21BE6783E39D</vt:lpwstr>
  </property>
  <property fmtid="{D5CDD505-2E9C-101B-9397-08002B2CF9AE}" pid="3" name="MediaServiceImageTags">
    <vt:lpwstr/>
  </property>
</Properties>
</file>